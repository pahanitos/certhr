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enefits_Input" sheetId="2" state="visible" r:id="rId4"/>
    <sheet name="Matrix" sheetId="3" state="visible" r:id="rId5"/>
    <sheet name="Summary" sheetId="4" state="visible" r:id="rId6"/>
  </sheets>
  <definedNames>
    <definedName function="false" hidden="true" localSheetId="1" name="_xlnm._FilterDatabase" vbProcedure="false">Benefits_Input!$B$5:$H$20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<sst xmlns="http://schemas.openxmlformats.org/spreadsheetml/2006/main" count="82" uniqueCount="70">
  <si>
    <t xml:space="preserve">C&amp;B TOOLKIT  ·  FREE · Benefits Value Matrix</t>
  </si>
  <si>
    <t xml:space="preserve">Назначение</t>
  </si>
  <si>
    <t xml:space="preserve">Матрица оценки льгот по стоимости и воспринимаемой ценности; выработка стратегии: keep / improve / promote / reconsider.</t>
  </si>
  <si>
    <t xml:space="preserve">Целевая аудитория</t>
  </si>
  <si>
    <t xml:space="preserve">HRD, C&amp;B-менеджеры, ответственные за бенефиты.</t>
  </si>
  <si>
    <t xml:space="preserve">Как использовать</t>
  </si>
  <si>
    <t xml:space="preserve">1) Заполните список льгот на Benefits_Input. 2) Матрица автоматически рассчитает категорию. 3) Summary покажет ключевые метрики и долю по категориям.</t>
  </si>
  <si>
    <t xml:space="preserve">Язык</t>
  </si>
  <si>
    <t xml:space="preserve">RU</t>
  </si>
  <si>
    <t xml:space="preserve">Версия</t>
  </si>
  <si>
    <t xml:space="preserve">1.0</t>
  </si>
  <si>
    <t xml:space="preserve">Контакт</t>
  </si>
  <si>
    <t xml:space="preserve">C&amp;B Toolkit · pahanit@gmail.com</t>
  </si>
  <si>
    <t xml:space="preserve">Структура файла</t>
  </si>
  <si>
    <t xml:space="preserve">Лист</t>
  </si>
  <si>
    <t xml:space="preserve">Что внутри</t>
  </si>
  <si>
    <t xml:space="preserve">Benefits_Input</t>
  </si>
  <si>
    <t xml:space="preserve">Льготы: стоимость, utilization, perceived value, strategic fit.</t>
  </si>
  <si>
    <t xml:space="preserve">Matrix</t>
  </si>
  <si>
    <t xml:space="preserve">Категория по cost vs value.</t>
  </si>
  <si>
    <t xml:space="preserve">Summary</t>
  </si>
  <si>
    <t xml:space="preserve">Сводные показатели и распределение льгот.</t>
  </si>
  <si>
    <t xml:space="preserve">Дисклеймер</t>
  </si>
  <si>
    <t xml:space="preserve">Шаблон предоставляется «как есть». Примерные данные сгенерированы случайно и не отражают реальный рынок. Проверяйте формулы перед использованием в продуктивных решениях. © C&amp;B Toolkit, pahanit@gmail.com.</t>
  </si>
  <si>
    <t xml:space="preserve">Льготы и оценка</t>
  </si>
  <si>
    <t xml:space="preserve">Введите данные. Perceived value и Strategic fit оцениваются 1–5.</t>
  </si>
  <si>
    <t xml:space="preserve">#</t>
  </si>
  <si>
    <t xml:space="preserve">Льгота</t>
  </si>
  <si>
    <t xml:space="preserve">Категория</t>
  </si>
  <si>
    <t xml:space="preserve">Стоимость / сотрудника, ₽/год</t>
  </si>
  <si>
    <t xml:space="preserve">Utilization, %</t>
  </si>
  <si>
    <t xml:space="preserve">Perceived value (1–5)</t>
  </si>
  <si>
    <t xml:space="preserve">Strategic fit (1–5)</t>
  </si>
  <si>
    <t xml:space="preserve">ДМС основной</t>
  </si>
  <si>
    <t xml:space="preserve">Здоровье</t>
  </si>
  <si>
    <t xml:space="preserve">ДМС для семьи</t>
  </si>
  <si>
    <t xml:space="preserve">Страхование жизни</t>
  </si>
  <si>
    <t xml:space="preserve">Корпоративный фитнес</t>
  </si>
  <si>
    <t xml:space="preserve">Велнес</t>
  </si>
  <si>
    <t xml:space="preserve">Психологическая поддержка</t>
  </si>
  <si>
    <t xml:space="preserve">Обучение и курсы</t>
  </si>
  <si>
    <t xml:space="preserve">Развитие</t>
  </si>
  <si>
    <t xml:space="preserve">Конференции и митапы</t>
  </si>
  <si>
    <t xml:space="preserve">Языковые курсы</t>
  </si>
  <si>
    <t xml:space="preserve">Гибкий график</t>
  </si>
  <si>
    <t xml:space="preserve">Гибкость</t>
  </si>
  <si>
    <t xml:space="preserve">Удаленная работа</t>
  </si>
  <si>
    <t xml:space="preserve">Доп. отпуск</t>
  </si>
  <si>
    <t xml:space="preserve">Время</t>
  </si>
  <si>
    <t xml:space="preserve">Компенсация питания</t>
  </si>
  <si>
    <t xml:space="preserve">Бытовое</t>
  </si>
  <si>
    <t xml:space="preserve">Корпоративный транспорт</t>
  </si>
  <si>
    <t xml:space="preserve">Подарки к праздникам</t>
  </si>
  <si>
    <t xml:space="preserve">Признание</t>
  </si>
  <si>
    <t xml:space="preserve">Программа реферралов</t>
  </si>
  <si>
    <t xml:space="preserve">Матрица льгот</t>
  </si>
  <si>
    <t xml:space="preserve">Категория = функция от Cost (стоимость × utilization) и Value (perceived × strategic fit).</t>
  </si>
  <si>
    <t xml:space="preserve">Annual cost / FTE (взвеш.)</t>
  </si>
  <si>
    <t xml:space="preserve">Value score</t>
  </si>
  <si>
    <t xml:space="preserve">Cost level</t>
  </si>
  <si>
    <t xml:space="preserve">Сводка</t>
  </si>
  <si>
    <t xml:space="preserve">Количество льгот</t>
  </si>
  <si>
    <t xml:space="preserve">Keep &amp; invest</t>
  </si>
  <si>
    <t xml:space="preserve">Promote</t>
  </si>
  <si>
    <t xml:space="preserve">Improve</t>
  </si>
  <si>
    <t xml:space="preserve">Reconsider</t>
  </si>
  <si>
    <t xml:space="preserve">Итого льгот</t>
  </si>
  <si>
    <t xml:space="preserve">Средняя стоимость / сотрудника</t>
  </si>
  <si>
    <t xml:space="preserve">Средний utilization</t>
  </si>
  <si>
    <t xml:space="preserve">Средний value score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</si>
</sst>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₽&quot;"/>
    <numFmt numFmtId="166" formatCode="0.0%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1"/>
      <color rgb="FF0E5C6B"/>
      <name val="Calibri"/>
      <family val="0"/>
      <charset val="1"/>
    </font>
    <font>
      <sz val="11"/>
      <color rgb="FF1F2A2E"/>
      <name val="Calibri"/>
      <family val="0"/>
      <charset val="1"/>
    </font>
    <font>
      <b val="true"/>
      <sz val="14"/>
      <color rgb="FF143D4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A84B2F"/>
      <name val="Calibri"/>
      <family val="0"/>
      <charset val="1"/>
    </font>
    <font>
      <i val="true"/>
      <sz val="10"/>
      <color rgb="FF6B7174"/>
      <name val="Calibri"/>
      <family val="0"/>
      <charset val="1"/>
    </font>
    <font>
      <b val="true"/>
      <sz val="20"/>
      <color rgb="FF143D45"/>
      <name val="Calibri"/>
      <family val="0"/>
      <charset val="1"/>
    </font>
    <font>
      <sz val="11"/>
      <color rgb="FF6B7174"/>
      <name val="Calibri"/>
      <family val="0"/>
      <charset val="1"/>
    </font>
    <font>
      <b val="true"/>
      <sz val="12"/>
      <color rgb="FF0E5C6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43D45"/>
        <bgColor rgb="FF1F2A2E"/>
      </patternFill>
    </fill>
    <fill>
      <patternFill patternType="solid">
        <fgColor rgb="FF0E5C6B"/>
        <bgColor rgb="FF143D45"/>
      </patternFill>
    </fill>
    <fill>
      <patternFill patternType="solid">
        <fgColor rgb="FFFBFA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2C8"/>
      </left>
      <right style="thin">
        <color rgb="FFD6D2C8"/>
      </right>
      <top style="thin">
        <color rgb="FFD6D2C8"/>
      </top>
      <bottom style="thin">
        <color rgb="FFD6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5C6B"/>
          <bgColor rgb="FF000000"/>
        </patternFill>
      </fill>
    </dxf>
    <dxf>
      <fill>
        <patternFill patternType="solid">
          <fgColor rgb="FFFBF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6E9D8"/>
        </patternFill>
      </fill>
    </dxf>
    <dxf>
      <fill>
        <patternFill>
          <bgColor rgb="FFDDE9EB"/>
        </patternFill>
      </fill>
    </dxf>
    <dxf>
      <fill>
        <patternFill>
          <bgColor rgb="FFFFE9B0"/>
        </patternFill>
      </fill>
    </dxf>
    <dxf>
      <fill>
        <patternFill>
          <bgColor rgb="FFF4D4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6B"/>
      <rgbColor rgb="FFD6D2C8"/>
      <rgbColor rgb="FF878787"/>
      <rgbColor rgb="FF9999FF"/>
      <rgbColor rgb="FF993366"/>
      <rgbColor rgb="FFFBFAF6"/>
      <rgbColor rgb="FFDDE9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8"/>
      <rgbColor rgb="FFFFE9B0"/>
      <rgbColor rgb="FF99CCFF"/>
      <rgbColor rgb="FFFF99CC"/>
      <rgbColor rgb="FFCC99FF"/>
      <rgbColor rgb="FFF4D4CB"/>
      <rgbColor rgb="FF4F81BD"/>
      <rgbColor rgb="FF33CCCC"/>
      <rgbColor rgb="FF99CC00"/>
      <rgbColor rgb="FFFFCC00"/>
      <rgbColor rgb="FFFF9900"/>
      <rgbColor rgb="FFFF6600"/>
      <rgbColor rgb="FF6B7174"/>
      <rgbColor rgb="FF969696"/>
      <rgbColor rgb="FF143D45"/>
      <rgbColor rgb="FF339966"/>
      <rgbColor rgb="FF003300"/>
      <rgbColor rgb="FF333300"/>
      <rgbColor rgb="FFA84B2F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Распределение льгот по категориям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Summary!C5</c:f>
              <c:strCache>
                <c:ptCount val="1"/>
                <c:pt idx="0">
                  <c:v>Количество льгот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Summary!$B$6:$B$9</c:f>
              <c:strCache>
                <c:ptCount val="4"/>
                <c:pt idx="0">
                  <c:v>Keep &amp; invest</c:v>
                </c:pt>
                <c:pt idx="1">
                  <c:v>Promote</c:v>
                </c:pt>
                <c:pt idx="2">
                  <c:v>Improve</c:v>
                </c:pt>
                <c:pt idx="3">
                  <c:v>Reconsider</c:v>
                </c:pt>
              </c:strCache>
            </c:strRef>
          </c:cat>
          <c:val>
            <c:numRef>
              <c:f>Summary!$C$6:$C$9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8687716"/>
        <c:axId val="42742226"/>
      </c:barChart>
      <c:catAx>
        <c:axId val="18687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742226"/>
        <c:crosses val="autoZero"/>
        <c:auto val="1"/>
        <c:lblAlgn val="ctr"/>
        <c:lblOffset val="100"/>
        <c:noMultiLvlLbl val="0"/>
      </c:catAx>
      <c:valAx>
        <c:axId val="42742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687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13</xdr:col>
      <xdr:colOff>255960</xdr:colOff>
      <xdr:row>18</xdr:row>
      <xdr:rowOff>79560</xdr:rowOff>
    </xdr:to>
    <xdr:graphicFrame>
      <xdr:nvGraphicFramePr>
        <xdr:cNvPr id="0" name="Chart 1"/>
        <xdr:cNvGraphicFramePr/>
      </xdr:nvGraphicFramePr>
      <xdr:xfrm>
        <a:off x="4417560" y="885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39.75" hidden="false" customHeight="true" outlineLevel="0" collapsed="false">
      <c r="A2" s="1"/>
      <c r="B2" s="2" t="s">
        <v>0</v>
      </c>
      <c r="C2" s="2"/>
      <c r="D2" s="2"/>
      <c r="E2" s="2"/>
    </row>
    <row r="4" customFormat="false" ht="31.5" hidden="false" customHeight="true" outlineLevel="0" collapsed="false">
      <c r="B4" s="3" t="s">
        <v>1</v>
      </c>
      <c r="C4" s="4" t="s">
        <v>2</v>
      </c>
    </row>
    <row r="5" customFormat="false" ht="31.5" hidden="false" customHeight="true" outlineLevel="0" collapsed="false">
      <c r="B5" s="3" t="s">
        <v>3</v>
      </c>
      <c r="C5" s="4" t="s">
        <v>4</v>
      </c>
    </row>
    <row r="6" customFormat="false" ht="31.5" hidden="false" customHeight="true" outlineLevel="0" collapsed="false">
      <c r="B6" s="3" t="s">
        <v>5</v>
      </c>
      <c r="C6" s="4" t="s">
        <v>6</v>
      </c>
    </row>
    <row r="7" customFormat="false" ht="31.5" hidden="false" customHeight="true" outlineLevel="0" collapsed="false">
      <c r="B7" s="3" t="s">
        <v>7</v>
      </c>
      <c r="C7" s="4" t="s">
        <v>8</v>
      </c>
    </row>
    <row r="8" customFormat="false" ht="31.5" hidden="false" customHeight="true" outlineLevel="0" collapsed="false">
      <c r="B8" s="3" t="s">
        <v>9</v>
      </c>
      <c r="C8" s="4" t="s">
        <v>10</v>
      </c>
    </row>
    <row r="9" customFormat="false" ht="31.5" hidden="false" customHeight="true" outlineLevel="0" collapsed="false">
      <c r="B9" s="3" t="s">
        <v>11</v>
      </c>
      <c r="C9" s="4" t="s">
        <v>12</v>
      </c>
    </row>
    <row r="11" customFormat="false" ht="17.35" hidden="false" customHeight="false" outlineLevel="0" collapsed="false">
      <c r="B11" s="5" t="s">
        <v>13</v>
      </c>
    </row>
    <row r="12" customFormat="false" ht="25.5" hidden="false" customHeight="true" outlineLevel="0" collapsed="false">
      <c r="B12" s="6" t="s">
        <v>14</v>
      </c>
      <c r="C12" s="6" t="s">
        <v>15</v>
      </c>
    </row>
    <row r="13" customFormat="false" ht="15" hidden="false" customHeight="false" outlineLevel="0" collapsed="false">
      <c r="B13" s="7" t="s">
        <v>16</v>
      </c>
      <c r="C13" s="7" t="s">
        <v>17</v>
      </c>
    </row>
    <row r="14" customFormat="false" ht="15" hidden="false" customHeight="false" outlineLevel="0" collapsed="false">
      <c r="B14" s="8" t="s">
        <v>18</v>
      </c>
      <c r="C14" s="8" t="s">
        <v>19</v>
      </c>
    </row>
    <row r="15" customFormat="false" ht="15" hidden="false" customHeight="false" outlineLevel="0" collapsed="false">
      <c r="B15" s="7" t="s">
        <v>20</v>
      </c>
      <c r="C15" s="7" t="s">
        <v>21</v>
      </c>
    </row>
    <row r="17" customFormat="false" ht="15" hidden="false" customHeight="false" outlineLevel="0" collapsed="false">
      <c r="B17" s="9" t="s">
        <v>22</v>
      </c>
    </row>
    <row r="18" customFormat="false" ht="15" hidden="false" customHeight="true" outlineLevel="0" collapsed="false">
      <c r="B18" s="10" t="s">
        <v>23</v>
      </c>
      <c r="C18" s="10"/>
    </row>
    <row r="19" customFormat="false" ht="15" hidden="false" customHeight="false" outlineLevel="0" collapsed="false">
      <c r="B19" s="10"/>
      <c r="C19" s="10"/>
    </row>
    <row r="20" customFormat="false" ht="15" hidden="false" customHeight="false" outlineLevel="0" collapsed="false">
      <c r="B20" s="10"/>
      <c r="C20" s="10"/>
    </row>
  </sheetData>
  <mergeCells count="2">
    <mergeCell ref="B2:E2"/>
    <mergeCell ref="B18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8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24</v>
      </c>
    </row>
    <row r="3" customFormat="false" ht="15" hidden="false" customHeight="false" outlineLevel="0" collapsed="false">
      <c r="B3" s="12" t="s">
        <v>25</v>
      </c>
    </row>
    <row r="5" customFormat="false" ht="25.5" hidden="false" customHeight="true" outlineLevel="0" collapsed="false"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</row>
    <row r="6" customFormat="false" ht="15" hidden="false" customHeight="false" outlineLevel="0" collapsed="false">
      <c r="B6" s="13" t="n">
        <v>1</v>
      </c>
      <c r="C6" s="7" t="s">
        <v>33</v>
      </c>
      <c r="D6" s="7" t="s">
        <v>34</v>
      </c>
      <c r="E6" s="14" t="n">
        <v>65000</v>
      </c>
      <c r="F6" s="15" t="n">
        <v>0.92</v>
      </c>
      <c r="G6" s="13" t="n">
        <v>5</v>
      </c>
      <c r="H6" s="13" t="n">
        <v>5</v>
      </c>
    </row>
    <row r="7" customFormat="false" ht="15" hidden="false" customHeight="false" outlineLevel="0" collapsed="false">
      <c r="B7" s="16" t="n">
        <v>2</v>
      </c>
      <c r="C7" s="8" t="s">
        <v>35</v>
      </c>
      <c r="D7" s="8" t="s">
        <v>34</v>
      </c>
      <c r="E7" s="17" t="n">
        <v>90000</v>
      </c>
      <c r="F7" s="18" t="n">
        <v>0.45</v>
      </c>
      <c r="G7" s="16" t="n">
        <v>4</v>
      </c>
      <c r="H7" s="16" t="n">
        <v>3</v>
      </c>
    </row>
    <row r="8" customFormat="false" ht="15" hidden="false" customHeight="false" outlineLevel="0" collapsed="false">
      <c r="B8" s="13" t="n">
        <v>3</v>
      </c>
      <c r="C8" s="7" t="s">
        <v>36</v>
      </c>
      <c r="D8" s="7" t="s">
        <v>34</v>
      </c>
      <c r="E8" s="14" t="n">
        <v>12000</v>
      </c>
      <c r="F8" s="15" t="n">
        <v>0.3</v>
      </c>
      <c r="G8" s="13" t="n">
        <v>3</v>
      </c>
      <c r="H8" s="13" t="n">
        <v>3</v>
      </c>
    </row>
    <row r="9" customFormat="false" ht="15" hidden="false" customHeight="false" outlineLevel="0" collapsed="false">
      <c r="B9" s="16" t="n">
        <v>4</v>
      </c>
      <c r="C9" s="8" t="s">
        <v>37</v>
      </c>
      <c r="D9" s="8" t="s">
        <v>38</v>
      </c>
      <c r="E9" s="17" t="n">
        <v>24000</v>
      </c>
      <c r="F9" s="18" t="n">
        <v>0.55</v>
      </c>
      <c r="G9" s="16" t="n">
        <v>4</v>
      </c>
      <c r="H9" s="16" t="n">
        <v>3</v>
      </c>
    </row>
    <row r="10" customFormat="false" ht="15" hidden="false" customHeight="false" outlineLevel="0" collapsed="false">
      <c r="B10" s="13" t="n">
        <v>5</v>
      </c>
      <c r="C10" s="7" t="s">
        <v>39</v>
      </c>
      <c r="D10" s="7" t="s">
        <v>38</v>
      </c>
      <c r="E10" s="14" t="n">
        <v>8000</v>
      </c>
      <c r="F10" s="15" t="n">
        <v>0.35</v>
      </c>
      <c r="G10" s="13" t="n">
        <v>4</v>
      </c>
      <c r="H10" s="13" t="n">
        <v>4</v>
      </c>
    </row>
    <row r="11" customFormat="false" ht="15" hidden="false" customHeight="false" outlineLevel="0" collapsed="false">
      <c r="B11" s="16" t="n">
        <v>6</v>
      </c>
      <c r="C11" s="8" t="s">
        <v>40</v>
      </c>
      <c r="D11" s="8" t="s">
        <v>41</v>
      </c>
      <c r="E11" s="17" t="n">
        <v>30000</v>
      </c>
      <c r="F11" s="18" t="n">
        <v>0.6</v>
      </c>
      <c r="G11" s="16" t="n">
        <v>4</v>
      </c>
      <c r="H11" s="16" t="n">
        <v>5</v>
      </c>
    </row>
    <row r="12" customFormat="false" ht="15" hidden="false" customHeight="false" outlineLevel="0" collapsed="false">
      <c r="B12" s="13" t="n">
        <v>7</v>
      </c>
      <c r="C12" s="7" t="s">
        <v>42</v>
      </c>
      <c r="D12" s="7" t="s">
        <v>41</v>
      </c>
      <c r="E12" s="14" t="n">
        <v>15000</v>
      </c>
      <c r="F12" s="15" t="n">
        <v>0.25</v>
      </c>
      <c r="G12" s="13" t="n">
        <v>3</v>
      </c>
      <c r="H12" s="13" t="n">
        <v>4</v>
      </c>
    </row>
    <row r="13" customFormat="false" ht="15" hidden="false" customHeight="false" outlineLevel="0" collapsed="false">
      <c r="B13" s="16" t="n">
        <v>8</v>
      </c>
      <c r="C13" s="8" t="s">
        <v>43</v>
      </c>
      <c r="D13" s="8" t="s">
        <v>41</v>
      </c>
      <c r="E13" s="17" t="n">
        <v>18000</v>
      </c>
      <c r="F13" s="18" t="n">
        <v>0.4</v>
      </c>
      <c r="G13" s="16" t="n">
        <v>3</v>
      </c>
      <c r="H13" s="16" t="n">
        <v>3</v>
      </c>
    </row>
    <row r="14" customFormat="false" ht="15" hidden="false" customHeight="false" outlineLevel="0" collapsed="false">
      <c r="B14" s="13" t="n">
        <v>9</v>
      </c>
      <c r="C14" s="7" t="s">
        <v>44</v>
      </c>
      <c r="D14" s="7" t="s">
        <v>45</v>
      </c>
      <c r="E14" s="14" t="n">
        <v>0</v>
      </c>
      <c r="F14" s="15" t="n">
        <v>0.85</v>
      </c>
      <c r="G14" s="13" t="n">
        <v>5</v>
      </c>
      <c r="H14" s="13" t="n">
        <v>5</v>
      </c>
    </row>
    <row r="15" customFormat="false" ht="15" hidden="false" customHeight="false" outlineLevel="0" collapsed="false">
      <c r="B15" s="16" t="n">
        <v>10</v>
      </c>
      <c r="C15" s="8" t="s">
        <v>46</v>
      </c>
      <c r="D15" s="8" t="s">
        <v>45</v>
      </c>
      <c r="E15" s="17" t="n">
        <v>0</v>
      </c>
      <c r="F15" s="18" t="n">
        <v>0.78</v>
      </c>
      <c r="G15" s="16" t="n">
        <v>5</v>
      </c>
      <c r="H15" s="16" t="n">
        <v>5</v>
      </c>
    </row>
    <row r="16" customFormat="false" ht="15" hidden="false" customHeight="false" outlineLevel="0" collapsed="false">
      <c r="B16" s="13" t="n">
        <v>11</v>
      </c>
      <c r="C16" s="7" t="s">
        <v>47</v>
      </c>
      <c r="D16" s="7" t="s">
        <v>48</v>
      </c>
      <c r="E16" s="14" t="n">
        <v>22000</v>
      </c>
      <c r="F16" s="15" t="n">
        <v>0.7</v>
      </c>
      <c r="G16" s="13" t="n">
        <v>4</v>
      </c>
      <c r="H16" s="13" t="n">
        <v>4</v>
      </c>
    </row>
    <row r="17" customFormat="false" ht="15" hidden="false" customHeight="false" outlineLevel="0" collapsed="false">
      <c r="B17" s="16" t="n">
        <v>12</v>
      </c>
      <c r="C17" s="8" t="s">
        <v>49</v>
      </c>
      <c r="D17" s="8" t="s">
        <v>50</v>
      </c>
      <c r="E17" s="17" t="n">
        <v>36000</v>
      </c>
      <c r="F17" s="18" t="n">
        <v>0.88</v>
      </c>
      <c r="G17" s="16" t="n">
        <v>4</v>
      </c>
      <c r="H17" s="16" t="n">
        <v>3</v>
      </c>
    </row>
    <row r="18" customFormat="false" ht="15" hidden="false" customHeight="false" outlineLevel="0" collapsed="false">
      <c r="B18" s="13" t="n">
        <v>13</v>
      </c>
      <c r="C18" s="7" t="s">
        <v>51</v>
      </c>
      <c r="D18" s="7" t="s">
        <v>50</v>
      </c>
      <c r="E18" s="14" t="n">
        <v>18000</v>
      </c>
      <c r="F18" s="15" t="n">
        <v>0.45</v>
      </c>
      <c r="G18" s="13" t="n">
        <v>3</v>
      </c>
      <c r="H18" s="13" t="n">
        <v>2</v>
      </c>
    </row>
    <row r="19" customFormat="false" ht="15" hidden="false" customHeight="false" outlineLevel="0" collapsed="false">
      <c r="B19" s="16" t="n">
        <v>14</v>
      </c>
      <c r="C19" s="8" t="s">
        <v>52</v>
      </c>
      <c r="D19" s="8" t="s">
        <v>53</v>
      </c>
      <c r="E19" s="17" t="n">
        <v>6000</v>
      </c>
      <c r="F19" s="18" t="n">
        <v>0.95</v>
      </c>
      <c r="G19" s="16" t="n">
        <v>3</v>
      </c>
      <c r="H19" s="16" t="n">
        <v>2</v>
      </c>
    </row>
    <row r="20" customFormat="false" ht="15" hidden="false" customHeight="false" outlineLevel="0" collapsed="false">
      <c r="B20" s="13" t="n">
        <v>15</v>
      </c>
      <c r="C20" s="7" t="s">
        <v>54</v>
      </c>
      <c r="D20" s="7" t="s">
        <v>53</v>
      </c>
      <c r="E20" s="14" t="n">
        <v>8000</v>
      </c>
      <c r="F20" s="15" t="n">
        <v>0.2</v>
      </c>
      <c r="G20" s="13" t="n">
        <v>2</v>
      </c>
      <c r="H20" s="13" t="n">
        <v>3</v>
      </c>
    </row>
  </sheetData>
  <autoFilter ref="B5:H20"/>
  <dataValidations count="1">
    <dataValidation allowBlank="true" errorStyle="stop" operator="between" showDropDown="false" showErrorMessage="false" showInputMessage="false" sqref="G6:H2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55</v>
      </c>
    </row>
    <row r="3" customFormat="false" ht="15" hidden="false" customHeight="false" outlineLevel="0" collapsed="false">
      <c r="B3" s="12" t="s">
        <v>56</v>
      </c>
    </row>
    <row r="5" customFormat="false" ht="25.5" hidden="false" customHeight="true" outlineLevel="0" collapsed="false">
      <c r="B5" s="6" t="s">
        <v>26</v>
      </c>
      <c r="C5" s="6" t="s">
        <v>27</v>
      </c>
      <c r="D5" s="6" t="s">
        <v>57</v>
      </c>
      <c r="E5" s="6" t="s">
        <v>58</v>
      </c>
      <c r="F5" s="6" t="s">
        <v>59</v>
      </c>
      <c r="G5" s="6" t="s">
        <v>28</v>
      </c>
    </row>
    <row r="6" customFormat="false" ht="15" hidden="false" customHeight="false" outlineLevel="0" collapsed="false">
      <c r="B6" s="13" t="n">
        <f aca="false">Benefits_Input!B6</f>
        <v>1</v>
      </c>
      <c r="C6" s="7" t="str">
        <f aca="false">Benefits_Input!C6</f>
        <v>ДМС основной</v>
      </c>
      <c r="D6" s="14" t="n">
        <f aca="false">Benefits_Input!E6*Benefits_Input!F6</f>
        <v>59800</v>
      </c>
      <c r="E6" s="19" t="n">
        <f aca="false">(Benefits_Input!G6+Benefits_Input!H6)/2</f>
        <v>5</v>
      </c>
      <c r="F6" s="13" t="str">
        <f aca="false">IF(D6&gt;=AVERAGE(D$6:D$20),"Высокая","Низкая")</f>
        <v>Высокая</v>
      </c>
      <c r="G6" s="13" t="str">
        <f aca="false">IF(AND(E6&gt;=3.5,F6="Низкая"),"Keep &amp; invest",IF(AND(E6&gt;=3.5,F6="Высокая"),"Promote",IF(AND(E6&lt;3.5,F6="Низкая"),"Improve","Reconsider")))</f>
        <v>Promote</v>
      </c>
    </row>
    <row r="7" customFormat="false" ht="15" hidden="false" customHeight="false" outlineLevel="0" collapsed="false">
      <c r="B7" s="16" t="n">
        <f aca="false">Benefits_Input!B7</f>
        <v>2</v>
      </c>
      <c r="C7" s="8" t="str">
        <f aca="false">Benefits_Input!C7</f>
        <v>ДМС для семьи</v>
      </c>
      <c r="D7" s="17" t="n">
        <f aca="false">Benefits_Input!E7*Benefits_Input!F7</f>
        <v>40500</v>
      </c>
      <c r="E7" s="20" t="n">
        <f aca="false">(Benefits_Input!G7+Benefits_Input!H7)/2</f>
        <v>3.5</v>
      </c>
      <c r="F7" s="16" t="str">
        <f aca="false">IF(D7&gt;=AVERAGE(D$6:D$20),"Высокая","Низкая")</f>
        <v>Высокая</v>
      </c>
      <c r="G7" s="16" t="str">
        <f aca="false">IF(AND(E7&gt;=3.5,F7="Низкая"),"Keep &amp; invest",IF(AND(E7&gt;=3.5,F7="Высокая"),"Promote",IF(AND(E7&lt;3.5,F7="Низкая"),"Improve","Reconsider")))</f>
        <v>Promote</v>
      </c>
    </row>
    <row r="8" customFormat="false" ht="15" hidden="false" customHeight="false" outlineLevel="0" collapsed="false">
      <c r="B8" s="13" t="n">
        <f aca="false">Benefits_Input!B8</f>
        <v>3</v>
      </c>
      <c r="C8" s="7" t="str">
        <f aca="false">Benefits_Input!C8</f>
        <v>Страхование жизни</v>
      </c>
      <c r="D8" s="14" t="n">
        <f aca="false">Benefits_Input!E8*Benefits_Input!F8</f>
        <v>3600</v>
      </c>
      <c r="E8" s="19" t="n">
        <f aca="false">(Benefits_Input!G8+Benefits_Input!H8)/2</f>
        <v>3</v>
      </c>
      <c r="F8" s="13" t="str">
        <f aca="false">IF(D8&gt;=AVERAGE(D$6:D$20),"Высокая","Низкая")</f>
        <v>Низкая</v>
      </c>
      <c r="G8" s="13" t="str">
        <f aca="false">IF(AND(E8&gt;=3.5,F8="Низкая"),"Keep &amp; invest",IF(AND(E8&gt;=3.5,F8="Высокая"),"Promote",IF(AND(E8&lt;3.5,F8="Низкая"),"Improve","Reconsider")))</f>
        <v>Improve</v>
      </c>
    </row>
    <row r="9" customFormat="false" ht="15" hidden="false" customHeight="false" outlineLevel="0" collapsed="false">
      <c r="B9" s="16" t="n">
        <f aca="false">Benefits_Input!B9</f>
        <v>4</v>
      </c>
      <c r="C9" s="8" t="str">
        <f aca="false">Benefits_Input!C9</f>
        <v>Корпоративный фитнес</v>
      </c>
      <c r="D9" s="17" t="n">
        <f aca="false">Benefits_Input!E9*Benefits_Input!F9</f>
        <v>13200</v>
      </c>
      <c r="E9" s="20" t="n">
        <f aca="false">(Benefits_Input!G9+Benefits_Input!H9)/2</f>
        <v>3.5</v>
      </c>
      <c r="F9" s="16" t="str">
        <f aca="false">IF(D9&gt;=AVERAGE(D$6:D$20),"Высокая","Низкая")</f>
        <v>Низкая</v>
      </c>
      <c r="G9" s="16" t="str">
        <f aca="false">IF(AND(E9&gt;=3.5,F9="Низкая"),"Keep &amp; invest",IF(AND(E9&gt;=3.5,F9="Высокая"),"Promote",IF(AND(E9&lt;3.5,F9="Низкая"),"Improve","Reconsider")))</f>
        <v>Keep &amp; invest</v>
      </c>
    </row>
    <row r="10" customFormat="false" ht="15" hidden="false" customHeight="false" outlineLevel="0" collapsed="false">
      <c r="B10" s="13" t="n">
        <f aca="false">Benefits_Input!B10</f>
        <v>5</v>
      </c>
      <c r="C10" s="7" t="str">
        <f aca="false">Benefits_Input!C10</f>
        <v>Психологическая поддержка</v>
      </c>
      <c r="D10" s="14" t="n">
        <f aca="false">Benefits_Input!E10*Benefits_Input!F10</f>
        <v>2800</v>
      </c>
      <c r="E10" s="19" t="n">
        <f aca="false">(Benefits_Input!G10+Benefits_Input!H10)/2</f>
        <v>4</v>
      </c>
      <c r="F10" s="13" t="str">
        <f aca="false">IF(D10&gt;=AVERAGE(D$6:D$20),"Высокая","Низкая")</f>
        <v>Низкая</v>
      </c>
      <c r="G10" s="13" t="str">
        <f aca="false">IF(AND(E10&gt;=3.5,F10="Низкая"),"Keep &amp; invest",IF(AND(E10&gt;=3.5,F10="Высокая"),"Promote",IF(AND(E10&lt;3.5,F10="Низкая"),"Improve","Reconsider")))</f>
        <v>Keep &amp; invest</v>
      </c>
    </row>
    <row r="11" customFormat="false" ht="15" hidden="false" customHeight="false" outlineLevel="0" collapsed="false">
      <c r="B11" s="16" t="n">
        <f aca="false">Benefits_Input!B11</f>
        <v>6</v>
      </c>
      <c r="C11" s="8" t="str">
        <f aca="false">Benefits_Input!C11</f>
        <v>Обучение и курсы</v>
      </c>
      <c r="D11" s="17" t="n">
        <f aca="false">Benefits_Input!E11*Benefits_Input!F11</f>
        <v>18000</v>
      </c>
      <c r="E11" s="20" t="n">
        <f aca="false">(Benefits_Input!G11+Benefits_Input!H11)/2</f>
        <v>4.5</v>
      </c>
      <c r="F11" s="16" t="str">
        <f aca="false">IF(D11&gt;=AVERAGE(D$6:D$20),"Высокая","Низкая")</f>
        <v>Высокая</v>
      </c>
      <c r="G11" s="16" t="str">
        <f aca="false">IF(AND(E11&gt;=3.5,F11="Низкая"),"Keep &amp; invest",IF(AND(E11&gt;=3.5,F11="Высокая"),"Promote",IF(AND(E11&lt;3.5,F11="Низкая"),"Improve","Reconsider")))</f>
        <v>Promote</v>
      </c>
    </row>
    <row r="12" customFormat="false" ht="15" hidden="false" customHeight="false" outlineLevel="0" collapsed="false">
      <c r="B12" s="13" t="n">
        <f aca="false">Benefits_Input!B12</f>
        <v>7</v>
      </c>
      <c r="C12" s="7" t="str">
        <f aca="false">Benefits_Input!C12</f>
        <v>Конференции и митапы</v>
      </c>
      <c r="D12" s="14" t="n">
        <f aca="false">Benefits_Input!E12*Benefits_Input!F12</f>
        <v>3750</v>
      </c>
      <c r="E12" s="19" t="n">
        <f aca="false">(Benefits_Input!G12+Benefits_Input!H12)/2</f>
        <v>3.5</v>
      </c>
      <c r="F12" s="13" t="str">
        <f aca="false">IF(D12&gt;=AVERAGE(D$6:D$20),"Высокая","Низкая")</f>
        <v>Низкая</v>
      </c>
      <c r="G12" s="13" t="str">
        <f aca="false">IF(AND(E12&gt;=3.5,F12="Низкая"),"Keep &amp; invest",IF(AND(E12&gt;=3.5,F12="Высокая"),"Promote",IF(AND(E12&lt;3.5,F12="Низкая"),"Improve","Reconsider")))</f>
        <v>Keep &amp; invest</v>
      </c>
    </row>
    <row r="13" customFormat="false" ht="15" hidden="false" customHeight="false" outlineLevel="0" collapsed="false">
      <c r="B13" s="16" t="n">
        <f aca="false">Benefits_Input!B13</f>
        <v>8</v>
      </c>
      <c r="C13" s="8" t="str">
        <f aca="false">Benefits_Input!C13</f>
        <v>Языковые курсы</v>
      </c>
      <c r="D13" s="17" t="n">
        <f aca="false">Benefits_Input!E13*Benefits_Input!F13</f>
        <v>7200</v>
      </c>
      <c r="E13" s="20" t="n">
        <f aca="false">(Benefits_Input!G13+Benefits_Input!H13)/2</f>
        <v>3</v>
      </c>
      <c r="F13" s="16" t="str">
        <f aca="false">IF(D13&gt;=AVERAGE(D$6:D$20),"Высокая","Низкая")</f>
        <v>Низкая</v>
      </c>
      <c r="G13" s="16" t="str">
        <f aca="false">IF(AND(E13&gt;=3.5,F13="Низкая"),"Keep &amp; invest",IF(AND(E13&gt;=3.5,F13="Высокая"),"Promote",IF(AND(E13&lt;3.5,F13="Низкая"),"Improve","Reconsider")))</f>
        <v>Improve</v>
      </c>
    </row>
    <row r="14" customFormat="false" ht="15" hidden="false" customHeight="false" outlineLevel="0" collapsed="false">
      <c r="B14" s="13" t="n">
        <f aca="false">Benefits_Input!B14</f>
        <v>9</v>
      </c>
      <c r="C14" s="7" t="str">
        <f aca="false">Benefits_Input!C14</f>
        <v>Гибкий график</v>
      </c>
      <c r="D14" s="14" t="n">
        <f aca="false">Benefits_Input!E14*Benefits_Input!F14</f>
        <v>0</v>
      </c>
      <c r="E14" s="19" t="n">
        <f aca="false">(Benefits_Input!G14+Benefits_Input!H14)/2</f>
        <v>5</v>
      </c>
      <c r="F14" s="13" t="str">
        <f aca="false">IF(D14&gt;=AVERAGE(D$6:D$20),"Высокая","Низкая")</f>
        <v>Низкая</v>
      </c>
      <c r="G14" s="13" t="str">
        <f aca="false">IF(AND(E14&gt;=3.5,F14="Низкая"),"Keep &amp; invest",IF(AND(E14&gt;=3.5,F14="Высокая"),"Promote",IF(AND(E14&lt;3.5,F14="Низкая"),"Improve","Reconsider")))</f>
        <v>Keep &amp; invest</v>
      </c>
    </row>
    <row r="15" customFormat="false" ht="15" hidden="false" customHeight="false" outlineLevel="0" collapsed="false">
      <c r="B15" s="16" t="n">
        <f aca="false">Benefits_Input!B15</f>
        <v>10</v>
      </c>
      <c r="C15" s="8" t="str">
        <f aca="false">Benefits_Input!C15</f>
        <v>Удаленная работа</v>
      </c>
      <c r="D15" s="17" t="n">
        <f aca="false">Benefits_Input!E15*Benefits_Input!F15</f>
        <v>0</v>
      </c>
      <c r="E15" s="20" t="n">
        <f aca="false">(Benefits_Input!G15+Benefits_Input!H15)/2</f>
        <v>5</v>
      </c>
      <c r="F15" s="16" t="str">
        <f aca="false">IF(D15&gt;=AVERAGE(D$6:D$20),"Высокая","Низкая")</f>
        <v>Низкая</v>
      </c>
      <c r="G15" s="16" t="str">
        <f aca="false">IF(AND(E15&gt;=3.5,F15="Низкая"),"Keep &amp; invest",IF(AND(E15&gt;=3.5,F15="Высокая"),"Promote",IF(AND(E15&lt;3.5,F15="Низкая"),"Improve","Reconsider")))</f>
        <v>Keep &amp; invest</v>
      </c>
    </row>
    <row r="16" customFormat="false" ht="15" hidden="false" customHeight="false" outlineLevel="0" collapsed="false">
      <c r="B16" s="13" t="n">
        <f aca="false">Benefits_Input!B16</f>
        <v>11</v>
      </c>
      <c r="C16" s="7" t="str">
        <f aca="false">Benefits_Input!C16</f>
        <v>Доп. отпуск</v>
      </c>
      <c r="D16" s="14" t="n">
        <f aca="false">Benefits_Input!E16*Benefits_Input!F16</f>
        <v>15400</v>
      </c>
      <c r="E16" s="19" t="n">
        <f aca="false">(Benefits_Input!G16+Benefits_Input!H16)/2</f>
        <v>4</v>
      </c>
      <c r="F16" s="13" t="str">
        <f aca="false">IF(D16&gt;=AVERAGE(D$6:D$20),"Высокая","Низкая")</f>
        <v>Высокая</v>
      </c>
      <c r="G16" s="13" t="str">
        <f aca="false">IF(AND(E16&gt;=3.5,F16="Низкая"),"Keep &amp; invest",IF(AND(E16&gt;=3.5,F16="Высокая"),"Promote",IF(AND(E16&lt;3.5,F16="Низкая"),"Improve","Reconsider")))</f>
        <v>Promote</v>
      </c>
    </row>
    <row r="17" customFormat="false" ht="15" hidden="false" customHeight="false" outlineLevel="0" collapsed="false">
      <c r="B17" s="16" t="n">
        <f aca="false">Benefits_Input!B17</f>
        <v>12</v>
      </c>
      <c r="C17" s="8" t="str">
        <f aca="false">Benefits_Input!C17</f>
        <v>Компенсация питания</v>
      </c>
      <c r="D17" s="17" t="n">
        <f aca="false">Benefits_Input!E17*Benefits_Input!F17</f>
        <v>31680</v>
      </c>
      <c r="E17" s="20" t="n">
        <f aca="false">(Benefits_Input!G17+Benefits_Input!H17)/2</f>
        <v>3.5</v>
      </c>
      <c r="F17" s="16" t="str">
        <f aca="false">IF(D17&gt;=AVERAGE(D$6:D$20),"Высокая","Низкая")</f>
        <v>Высокая</v>
      </c>
      <c r="G17" s="16" t="str">
        <f aca="false">IF(AND(E17&gt;=3.5,F17="Низкая"),"Keep &amp; invest",IF(AND(E17&gt;=3.5,F17="Высокая"),"Promote",IF(AND(E17&lt;3.5,F17="Низкая"),"Improve","Reconsider")))</f>
        <v>Promote</v>
      </c>
    </row>
    <row r="18" customFormat="false" ht="15" hidden="false" customHeight="false" outlineLevel="0" collapsed="false">
      <c r="B18" s="13" t="n">
        <f aca="false">Benefits_Input!B18</f>
        <v>13</v>
      </c>
      <c r="C18" s="7" t="str">
        <f aca="false">Benefits_Input!C18</f>
        <v>Корпоративный транспорт</v>
      </c>
      <c r="D18" s="14" t="n">
        <f aca="false">Benefits_Input!E18*Benefits_Input!F18</f>
        <v>8100</v>
      </c>
      <c r="E18" s="19" t="n">
        <f aca="false">(Benefits_Input!G18+Benefits_Input!H18)/2</f>
        <v>2.5</v>
      </c>
      <c r="F18" s="13" t="str">
        <f aca="false">IF(D18&gt;=AVERAGE(D$6:D$20),"Высокая","Низкая")</f>
        <v>Низкая</v>
      </c>
      <c r="G18" s="13" t="str">
        <f aca="false">IF(AND(E18&gt;=3.5,F18="Низкая"),"Keep &amp; invest",IF(AND(E18&gt;=3.5,F18="Высокая"),"Promote",IF(AND(E18&lt;3.5,F18="Низкая"),"Improve","Reconsider")))</f>
        <v>Improve</v>
      </c>
    </row>
    <row r="19" customFormat="false" ht="15" hidden="false" customHeight="false" outlineLevel="0" collapsed="false">
      <c r="B19" s="16" t="n">
        <f aca="false">Benefits_Input!B19</f>
        <v>14</v>
      </c>
      <c r="C19" s="8" t="str">
        <f aca="false">Benefits_Input!C19</f>
        <v>Подарки к праздникам</v>
      </c>
      <c r="D19" s="17" t="n">
        <f aca="false">Benefits_Input!E19*Benefits_Input!F19</f>
        <v>5700</v>
      </c>
      <c r="E19" s="20" t="n">
        <f aca="false">(Benefits_Input!G19+Benefits_Input!H19)/2</f>
        <v>2.5</v>
      </c>
      <c r="F19" s="16" t="str">
        <f aca="false">IF(D19&gt;=AVERAGE(D$6:D$20),"Высокая","Низкая")</f>
        <v>Низкая</v>
      </c>
      <c r="G19" s="16" t="str">
        <f aca="false">IF(AND(E19&gt;=3.5,F19="Низкая"),"Keep &amp; invest",IF(AND(E19&gt;=3.5,F19="Высокая"),"Promote",IF(AND(E19&lt;3.5,F19="Низкая"),"Improve","Reconsider")))</f>
        <v>Improve</v>
      </c>
    </row>
    <row r="20" customFormat="false" ht="15" hidden="false" customHeight="false" outlineLevel="0" collapsed="false">
      <c r="B20" s="13" t="n">
        <f aca="false">Benefits_Input!B20</f>
        <v>15</v>
      </c>
      <c r="C20" s="7" t="str">
        <f aca="false">Benefits_Input!C20</f>
        <v>Программа реферралов</v>
      </c>
      <c r="D20" s="14" t="n">
        <f aca="false">Benefits_Input!E20*Benefits_Input!F20</f>
        <v>1600</v>
      </c>
      <c r="E20" s="19" t="n">
        <f aca="false">(Benefits_Input!G20+Benefits_Input!H20)/2</f>
        <v>2.5</v>
      </c>
      <c r="F20" s="13" t="str">
        <f aca="false">IF(D20&gt;=AVERAGE(D$6:D$20),"Высокая","Низкая")</f>
        <v>Низкая</v>
      </c>
      <c r="G20" s="13" t="str">
        <f aca="false">IF(AND(E20&gt;=3.5,F20="Низкая"),"Keep &amp; invest",IF(AND(E20&gt;=3.5,F20="Высокая"),"Promote",IF(AND(E20&lt;3.5,F20="Низкая"),"Improve","Reconsider")))</f>
        <v>Improve</v>
      </c>
    </row>
  </sheetData>
  <conditionalFormatting sqref="G6:G20">
    <cfRule type="expression" priority="2" aboveAverage="0" equalAverage="0" bottom="0" percent="0" rank="0" text="" dxfId="5">
      <formula>EXACT($G6,"Keep &amp; invest")</formula>
    </cfRule>
    <cfRule type="expression" priority="3" aboveAverage="0" equalAverage="0" bottom="0" percent="0" rank="0" text="" dxfId="6">
      <formula>EXACT($G6,"Promote")</formula>
    </cfRule>
    <cfRule type="expression" priority="4" aboveAverage="0" equalAverage="0" bottom="0" percent="0" rank="0" text="" dxfId="7">
      <formula>EXACT($G6,"Improve")</formula>
    </cfRule>
    <cfRule type="expression" priority="5" aboveAverage="0" equalAverage="0" bottom="0" percent="0" rank="0" text="" dxfId="8">
      <formula>EXACT($G6,"Reconsider")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60</v>
      </c>
    </row>
    <row r="5" customFormat="false" ht="25.5" hidden="false" customHeight="true" outlineLevel="0" collapsed="false">
      <c r="B5" s="6" t="s">
        <v>28</v>
      </c>
      <c r="C5" s="6" t="s">
        <v>61</v>
      </c>
    </row>
    <row r="6" customFormat="false" ht="15" hidden="false" customHeight="false" outlineLevel="0" collapsed="false">
      <c r="B6" s="7" t="s">
        <v>62</v>
      </c>
      <c r="C6" s="21" t="n">
        <f aca="false">COUNTIF(Matrix!G6:G20,"Keep &amp; invest")</f>
        <v>5</v>
      </c>
    </row>
    <row r="7" customFormat="false" ht="15" hidden="false" customHeight="false" outlineLevel="0" collapsed="false">
      <c r="B7" s="8" t="s">
        <v>63</v>
      </c>
      <c r="C7" s="22" t="n">
        <f aca="false">COUNTIF(Matrix!G6:G20,"Promote")</f>
        <v>5</v>
      </c>
    </row>
    <row r="8" customFormat="false" ht="15" hidden="false" customHeight="false" outlineLevel="0" collapsed="false">
      <c r="B8" s="7" t="s">
        <v>64</v>
      </c>
      <c r="C8" s="21" t="n">
        <f aca="false">COUNTIF(Matrix!G6:G20,"Improve")</f>
        <v>5</v>
      </c>
    </row>
    <row r="9" customFormat="false" ht="15" hidden="false" customHeight="false" outlineLevel="0" collapsed="false">
      <c r="B9" s="8" t="s">
        <v>65</v>
      </c>
      <c r="C9" s="22" t="n">
        <f aca="false">COUNTIF(Matrix!G6:G20,"Reconsider")</f>
        <v>0</v>
      </c>
    </row>
    <row r="10" customFormat="false" ht="15" hidden="false" customHeight="false" outlineLevel="0" collapsed="false">
      <c r="C10" s="23"/>
    </row>
    <row r="11" customFormat="false" ht="15" hidden="false" customHeight="false" outlineLevel="0" collapsed="false">
      <c r="B11" s="7" t="s">
        <v>66</v>
      </c>
      <c r="C11" s="21" t="n">
        <f aca="false">COUNTA(Benefits_Input!C6:C20)</f>
        <v>15</v>
      </c>
    </row>
    <row r="12" customFormat="false" ht="15" hidden="false" customHeight="false" outlineLevel="0" collapsed="false">
      <c r="B12" s="8" t="s">
        <v>67</v>
      </c>
      <c r="C12" s="24" t="n">
        <f aca="false">AVERAGE(Benefits_Input!E6:E20)</f>
        <v>23466.6666666667</v>
      </c>
    </row>
    <row r="13" customFormat="false" ht="15" hidden="false" customHeight="false" outlineLevel="0" collapsed="false">
      <c r="B13" s="7" t="s">
        <v>68</v>
      </c>
      <c r="C13" s="25" t="n">
        <f aca="false">AVERAGE(Benefits_Input!F6:F20)</f>
        <v>0.575333333333333</v>
      </c>
    </row>
    <row r="14" customFormat="false" ht="15" hidden="false" customHeight="false" outlineLevel="0" collapsed="false">
      <c r="B14" s="8" t="s">
        <v>69</v>
      </c>
      <c r="C14" s="26" t="n">
        <f aca="false">AVERAGE(Matrix!E6:E20)</f>
        <v>3.66666666666667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2026-05-12T15:25:17Z</dcterms:created>
  <dc:creator>openpyxl</dc:creator>
  <dc:description/>
  <dc:language>en-US</dc:language>
  <cp:lastModifiedBy/>
  <dcterms:modified xsi:type="dcterms:W3CDTF">2026-05-12T15:25:23Z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