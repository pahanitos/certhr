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" sheetId="2" state="visible" r:id="rId4"/>
    <sheet name="Calculation" sheetId="3" state="visible" r:id="rId5"/>
    <sheet name="Dashboard" sheetId="4" state="visible" r:id="rId6"/>
  </sheets>
  <definedNames>
    <definedName function="false" hidden="true" localSheetId="2" name="_xlnm._FilterDatabase" vbProcedure="false">Calculation!$B$5:$I$20</definedName>
    <definedName function="false" hidden="true" localSheetId="1" name="_xlnm._FilterDatabase" vbProcedure="false">Input!$B$5:$I$20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<sst xmlns="http://schemas.openxmlformats.org/spreadsheetml/2006/main" count="108" uniqueCount="94">
  <si>
    <t xml:space="preserve">C&amp;B TOOLKIT  ·  FREE · Compa-Ratio Calculator</t>
  </si>
  <si>
    <t xml:space="preserve">Назначение</t>
  </si>
  <si>
    <t xml:space="preserve">Быстрый расчет compa-ratio и range penetration по сотрудникам с базовой визуализацией рисков.</t>
  </si>
  <si>
    <t xml:space="preserve">Целевая аудитория</t>
  </si>
  <si>
    <t xml:space="preserve">HR Business Partners, C&amp;B-менеджеры, руководители подразделений.</t>
  </si>
  <si>
    <t xml:space="preserve">Как использовать</t>
  </si>
  <si>
    <t xml:space="preserve">1) Введите данные на листе Input. 2) Проверьте автоматический расчет на Calculation. 3) Откройте Dashboard для KPI и зон риска.</t>
  </si>
  <si>
    <t xml:space="preserve">Язык</t>
  </si>
  <si>
    <t xml:space="preserve">RU</t>
  </si>
  <si>
    <t xml:space="preserve">Версия</t>
  </si>
  <si>
    <t xml:space="preserve">1.0</t>
  </si>
  <si>
    <t xml:space="preserve">Контакт</t>
  </si>
  <si>
    <t xml:space="preserve">C&amp;B Toolkit · pahanit@gmail.com</t>
  </si>
  <si>
    <t xml:space="preserve">Структура файла</t>
  </si>
  <si>
    <t xml:space="preserve">Лист</t>
  </si>
  <si>
    <t xml:space="preserve">Что внутри</t>
  </si>
  <si>
    <t xml:space="preserve">Input</t>
  </si>
  <si>
    <t xml:space="preserve">Список сотрудников: грейд, оклад, midpoint, min/max диапазона.</t>
  </si>
  <si>
    <t xml:space="preserve">Calculation</t>
  </si>
  <si>
    <t xml:space="preserve">Compa-ratio, range penetration, зона риска (формулы).</t>
  </si>
  <si>
    <t xml:space="preserve">Dashboard</t>
  </si>
  <si>
    <t xml:space="preserve">Сводка по компании: средний compa-ratio, доли вне диапазона, топ-риски.</t>
  </si>
  <si>
    <t xml:space="preserve">Дисклеймер</t>
  </si>
  <si>
    <t xml:space="preserve">Шаблон предоставляется «как есть». Примерные данные сгенерированы случайно и не отражают реальный рынок. Проверяйте формулы перед использованием в продуктивных решениях. © C&amp;B Toolkit, pahanit@gmail.com.</t>
  </si>
  <si>
    <t xml:space="preserve">Входные данные</t>
  </si>
  <si>
    <t xml:space="preserve">Заполните таблицу. Формулы на следующем листе подхватят значения автоматически.</t>
  </si>
  <si>
    <t xml:space="preserve">#</t>
  </si>
  <si>
    <t xml:space="preserve">ФИО</t>
  </si>
  <si>
    <t xml:space="preserve">Должность</t>
  </si>
  <si>
    <t xml:space="preserve">Грейд</t>
  </si>
  <si>
    <t xml:space="preserve">Оклад, ₽/мес</t>
  </si>
  <si>
    <t xml:space="preserve">Min, ₽</t>
  </si>
  <si>
    <t xml:space="preserve">Mid, ₽</t>
  </si>
  <si>
    <t xml:space="preserve">Max, ₽</t>
  </si>
  <si>
    <t xml:space="preserve">Иванов И.И.</t>
  </si>
  <si>
    <t xml:space="preserve">Senior C&amp;B Analyst</t>
  </si>
  <si>
    <t xml:space="preserve">G5</t>
  </si>
  <si>
    <t xml:space="preserve">Петрова А.С.</t>
  </si>
  <si>
    <t xml:space="preserve">HR Business Partner</t>
  </si>
  <si>
    <t xml:space="preserve">Смирнов В.А.</t>
  </si>
  <si>
    <t xml:space="preserve">Compensation Manager</t>
  </si>
  <si>
    <t xml:space="preserve">G6</t>
  </si>
  <si>
    <t xml:space="preserve">Кузнецова Л.П.</t>
  </si>
  <si>
    <t xml:space="preserve">Recruiter</t>
  </si>
  <si>
    <t xml:space="preserve">G3</t>
  </si>
  <si>
    <t xml:space="preserve">Соколов Д.М.</t>
  </si>
  <si>
    <t xml:space="preserve">Junior HR Analyst</t>
  </si>
  <si>
    <t xml:space="preserve">G2</t>
  </si>
  <si>
    <t xml:space="preserve">Морозова Е.К.</t>
  </si>
  <si>
    <t xml:space="preserve">HR Director</t>
  </si>
  <si>
    <t xml:space="preserve">G7</t>
  </si>
  <si>
    <t xml:space="preserve">Васильев П.А.</t>
  </si>
  <si>
    <t xml:space="preserve">Total Rewards Lead</t>
  </si>
  <si>
    <t xml:space="preserve">Зайцева О.В.</t>
  </si>
  <si>
    <t xml:space="preserve">Payroll Specialist</t>
  </si>
  <si>
    <t xml:space="preserve">Павлов С.Н.</t>
  </si>
  <si>
    <t xml:space="preserve">HR Operations Manager</t>
  </si>
  <si>
    <t xml:space="preserve">Семенова Т.Б.</t>
  </si>
  <si>
    <t xml:space="preserve">C&amp;B Analyst</t>
  </si>
  <si>
    <t xml:space="preserve">G4</t>
  </si>
  <si>
    <t xml:space="preserve">Голубев К.Е.</t>
  </si>
  <si>
    <t xml:space="preserve">Talent Partner</t>
  </si>
  <si>
    <t xml:space="preserve">Виноградова М.Д.</t>
  </si>
  <si>
    <t xml:space="preserve">Learning Specialist</t>
  </si>
  <si>
    <t xml:space="preserve">Богданов Р.И.</t>
  </si>
  <si>
    <t xml:space="preserve">HR Generalist</t>
  </si>
  <si>
    <t xml:space="preserve">Воробьева Н.А.</t>
  </si>
  <si>
    <t xml:space="preserve">Comp Specialist</t>
  </si>
  <si>
    <t xml:space="preserve">Григорьев А.Ю.</t>
  </si>
  <si>
    <t xml:space="preserve">Senior HRBP</t>
  </si>
  <si>
    <t xml:space="preserve">Расчет показателей</t>
  </si>
  <si>
    <t xml:space="preserve">Формулы compa-ratio = Оклад / Mid, range penetration = (Оклад - Min) / (Max - Min).</t>
  </si>
  <si>
    <t xml:space="preserve">Оклад</t>
  </si>
  <si>
    <t xml:space="preserve">Mid</t>
  </si>
  <si>
    <t xml:space="preserve">Compa-ratio</t>
  </si>
  <si>
    <t xml:space="preserve">Range penetration</t>
  </si>
  <si>
    <t xml:space="preserve">Зона</t>
  </si>
  <si>
    <t xml:space="preserve">Сводные KPI по выборке.</t>
  </si>
  <si>
    <t xml:space="preserve">KPI</t>
  </si>
  <si>
    <t xml:space="preserve">Значение</t>
  </si>
  <si>
    <t xml:space="preserve">Топ-риски (ниже 0.8 или выше 1.2)</t>
  </si>
  <si>
    <t xml:space="preserve">Средний compa-ratio</t>
  </si>
  <si>
    <t xml:space="preserve">Медианный compa-ratio</t>
  </si>
  <si>
    <t xml:space="preserve">Доля ниже 0.8</t>
  </si>
  <si>
    <t xml:space="preserve">Доля выше 1.2</t>
  </si>
  <si>
    <t xml:space="preserve">Сотрудников в выборке</t>
  </si>
  <si>
    <t xml:space="preserve">Средний оклад</t>
  </si>
  <si>
    <t xml:space="preserve">Средний range penetration</t>
  </si>
  <si>
    <t xml:space="preserve">Распределение по зонам</t>
  </si>
  <si>
    <t xml:space="preserve">Ниже диапазона</t>
  </si>
  <si>
    <t xml:space="preserve">Низкий target</t>
  </si>
  <si>
    <t xml:space="preserve">В target</t>
  </si>
  <si>
    <t xml:space="preserve">Высокий target</t>
  </si>
  <si>
    <t xml:space="preserve">Выше диапазона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</si>
</sst>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₽&quot;"/>
    <numFmt numFmtId="166" formatCode="0.00"/>
    <numFmt numFmtId="167" formatCode="0.0%"/>
    <numFmt numFmtId="168" formatCode="#,##0"/>
    <numFmt numFmtId="169" formatCode="#,##0&quot; ₽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0E5C6B"/>
      <name val="Calibri"/>
      <family val="0"/>
      <charset val="1"/>
    </font>
    <font>
      <sz val="11"/>
      <color rgb="FF1F2A2E"/>
      <name val="Calibri"/>
      <family val="0"/>
      <charset val="1"/>
    </font>
    <font>
      <b val="true"/>
      <sz val="14"/>
      <color rgb="FF143D4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84B2F"/>
      <name val="Calibri"/>
      <family val="0"/>
      <charset val="1"/>
    </font>
    <font>
      <i val="true"/>
      <sz val="10"/>
      <color rgb="FF6B7174"/>
      <name val="Calibri"/>
      <family val="0"/>
      <charset val="1"/>
    </font>
    <font>
      <b val="true"/>
      <sz val="20"/>
      <color rgb="FF143D45"/>
      <name val="Calibri"/>
      <family val="0"/>
      <charset val="1"/>
    </font>
    <font>
      <sz val="11"/>
      <color rgb="FF6B7174"/>
      <name val="Calibri"/>
      <family val="0"/>
      <charset val="1"/>
    </font>
    <font>
      <b val="true"/>
      <sz val="12"/>
      <color rgb="FF0E5C6B"/>
      <name val="Calibri"/>
      <family val="0"/>
      <charset val="1"/>
    </font>
    <font>
      <b val="true"/>
      <sz val="13"/>
      <color rgb="FF143D4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43D45"/>
        <bgColor rgb="FF1F2A2E"/>
      </patternFill>
    </fill>
    <fill>
      <patternFill patternType="solid">
        <fgColor rgb="FF0E5C6B"/>
        <bgColor rgb="FF143D45"/>
      </patternFill>
    </fill>
    <fill>
      <patternFill patternType="solid">
        <fgColor rgb="FFFBFA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8"/>
      </left>
      <right style="thin">
        <color rgb="FFD6D2C8"/>
      </right>
      <top style="thin">
        <color rgb="FFD6D2C8"/>
      </top>
      <bottom style="thin">
        <color rgb="FFD6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E5C6B"/>
          <bgColor rgb="FF000000"/>
        </patternFill>
      </fill>
    </dxf>
    <dxf>
      <fill>
        <patternFill patternType="solid">
          <fgColor rgb="FFFB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9D8"/>
          <bgColor rgb="FF000000"/>
        </patternFill>
      </fill>
    </dxf>
    <dxf>
      <fill>
        <patternFill patternType="solid">
          <fgColor rgb="FFFFE9B0"/>
          <bgColor rgb="FF000000"/>
        </patternFill>
      </fill>
    </dxf>
    <dxf>
      <fill>
        <patternFill>
          <bgColor rgb="FFF4D4CB"/>
        </patternFill>
      </fill>
    </dxf>
    <dxf>
      <fill>
        <patternFill>
          <bgColor rgb="FFD6E9D8"/>
        </patternFill>
      </fill>
    </dxf>
    <dxf>
      <fill>
        <patternFill>
          <bgColor rgb="FFFFE9B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6B"/>
      <rgbColor rgb="FFD6D2C8"/>
      <rgbColor rgb="FF878787"/>
      <rgbColor rgb="FF9999FF"/>
      <rgbColor rgb="FF993366"/>
      <rgbColor rgb="FFFBFA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8"/>
      <rgbColor rgb="FFFFE9B0"/>
      <rgbColor rgb="FF99CCFF"/>
      <rgbColor rgb="FFFF99CC"/>
      <rgbColor rgb="FFCC99FF"/>
      <rgbColor rgb="FFF4D4CB"/>
      <rgbColor rgb="FF4F81BD"/>
      <rgbColor rgb="FF33CCCC"/>
      <rgbColor rgb="FF99CC00"/>
      <rgbColor rgb="FFFFCC00"/>
      <rgbColor rgb="FFFF9900"/>
      <rgbColor rgb="FFFF6600"/>
      <rgbColor rgb="FF6B7174"/>
      <rgbColor rgb="FF969696"/>
      <rgbColor rgb="FF143D45"/>
      <rgbColor rgb="FF339966"/>
      <rgbColor rgb="FF003300"/>
      <rgbColor rgb="FF333300"/>
      <rgbColor rgb="FFA84B2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Распределение compa-ratio по зонам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Dashboard!$B$18:$B$22</c:f>
              <c:strCache>
                <c:ptCount val="5"/>
                <c:pt idx="0">
                  <c:v>Ниже диапазона</c:v>
                </c:pt>
                <c:pt idx="1">
                  <c:v>Низкий target</c:v>
                </c:pt>
                <c:pt idx="2">
                  <c:v>В target</c:v>
                </c:pt>
                <c:pt idx="3">
                  <c:v>Высокий target</c:v>
                </c:pt>
                <c:pt idx="4">
                  <c:v>Выше диапазона</c:v>
                </c:pt>
              </c:strCache>
            </c:strRef>
          </c:cat>
          <c:val>
            <c:numRef>
              <c:f>Dashboard!$C$18:$C$22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2777028"/>
        <c:axId val="33180251"/>
      </c:barChart>
      <c:catAx>
        <c:axId val="827770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Сотрудников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180251"/>
        <c:crosses val="autoZero"/>
        <c:auto val="1"/>
        <c:lblAlgn val="ctr"/>
        <c:lblOffset val="100"/>
        <c:noMultiLvlLbl val="0"/>
      </c:catAx>
      <c:valAx>
        <c:axId val="33180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Зона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77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9</xdr:col>
      <xdr:colOff>259560</xdr:colOff>
      <xdr:row>31</xdr:row>
      <xdr:rowOff>7200</xdr:rowOff>
    </xdr:to>
    <xdr:graphicFrame>
      <xdr:nvGraphicFramePr>
        <xdr:cNvPr id="0" name="Chart 1"/>
        <xdr:cNvGraphicFramePr/>
      </xdr:nvGraphicFramePr>
      <xdr:xfrm>
        <a:off x="4088160" y="3305160"/>
        <a:ext cx="575928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90"/>
  </cols>
  <sheetData>
    <row r="2" customFormat="false" ht="39.75" hidden="false" customHeight="true" outlineLevel="0" collapsed="false">
      <c r="A2" s="2"/>
      <c r="B2" s="3" t="s">
        <v>0</v>
      </c>
      <c r="C2" s="3"/>
      <c r="D2" s="3"/>
      <c r="E2" s="3"/>
    </row>
    <row r="4" customFormat="false" ht="31.5" hidden="false" customHeight="true" outlineLevel="0" collapsed="false">
      <c r="B4" s="4" t="s">
        <v>1</v>
      </c>
      <c r="C4" s="5" t="s">
        <v>2</v>
      </c>
    </row>
    <row r="5" customFormat="false" ht="31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5" t="s">
        <v>6</v>
      </c>
    </row>
    <row r="7" customFormat="false" ht="31.5" hidden="false" customHeight="true" outlineLevel="0" collapsed="false">
      <c r="B7" s="4" t="s">
        <v>7</v>
      </c>
      <c r="C7" s="5" t="s">
        <v>8</v>
      </c>
    </row>
    <row r="8" customFormat="false" ht="31.5" hidden="false" customHeight="true" outlineLevel="0" collapsed="false">
      <c r="B8" s="4" t="s">
        <v>9</v>
      </c>
      <c r="C8" s="5" t="s">
        <v>10</v>
      </c>
    </row>
    <row r="9" customFormat="false" ht="31.5" hidden="false" customHeight="true" outlineLevel="0" collapsed="false">
      <c r="B9" s="4" t="s">
        <v>11</v>
      </c>
      <c r="C9" s="5" t="s">
        <v>12</v>
      </c>
    </row>
    <row r="11" customFormat="false" ht="17.25" hidden="false" customHeight="true" outlineLevel="0" collapsed="false">
      <c r="B11" s="6" t="s">
        <v>13</v>
      </c>
    </row>
    <row r="12" customFormat="false" ht="25.5" hidden="false" customHeight="true" outlineLevel="0" collapsed="false">
      <c r="B12" s="7" t="s">
        <v>14</v>
      </c>
      <c r="C12" s="7" t="s">
        <v>15</v>
      </c>
    </row>
    <row r="13" customFormat="false" ht="15" hidden="false" customHeight="true" outlineLevel="0" collapsed="false">
      <c r="B13" s="8" t="s">
        <v>16</v>
      </c>
      <c r="C13" s="8" t="s">
        <v>17</v>
      </c>
    </row>
    <row r="14" customFormat="false" ht="15" hidden="false" customHeight="true" outlineLevel="0" collapsed="false">
      <c r="B14" s="9" t="s">
        <v>18</v>
      </c>
      <c r="C14" s="9" t="s">
        <v>19</v>
      </c>
    </row>
    <row r="15" customFormat="false" ht="15" hidden="false" customHeight="true" outlineLevel="0" collapsed="false">
      <c r="B15" s="8" t="s">
        <v>20</v>
      </c>
      <c r="C15" s="8" t="s">
        <v>21</v>
      </c>
    </row>
    <row r="17" customFormat="false" ht="15" hidden="false" customHeight="true" outlineLevel="0" collapsed="false">
      <c r="B17" s="10" t="s">
        <v>22</v>
      </c>
    </row>
    <row r="18" customFormat="false" ht="15" hidden="false" customHeight="true" outlineLevel="0" collapsed="false">
      <c r="B18" s="11" t="s">
        <v>23</v>
      </c>
      <c r="C18" s="11"/>
    </row>
    <row r="19" customFormat="false" ht="15" hidden="false" customHeight="true" outlineLevel="0" collapsed="false">
      <c r="B19" s="11"/>
      <c r="C19" s="11"/>
    </row>
    <row r="20" customFormat="false" ht="15" hidden="false" customHeight="true" outlineLevel="0" collapsed="false">
      <c r="B20" s="11"/>
      <c r="C20" s="11"/>
    </row>
  </sheetData>
  <mergeCells count="2">
    <mergeCell ref="B2:E2"/>
    <mergeCell ref="B18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4" min="3" style="1" width="22"/>
    <col collapsed="false" customWidth="true" hidden="false" outlineLevel="0" max="5" min="5" style="1" width="10"/>
    <col collapsed="false" customWidth="true" hidden="false" outlineLevel="0" max="9" min="6" style="1" width="14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2" t="s">
        <v>24</v>
      </c>
    </row>
    <row r="3" customFormat="false" ht="15" hidden="false" customHeight="true" outlineLevel="0" collapsed="false">
      <c r="B3" s="13" t="s">
        <v>25</v>
      </c>
    </row>
    <row r="5" customFormat="false" ht="25.5" hidden="false" customHeight="true" outlineLevel="0" collapsed="false"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33</v>
      </c>
    </row>
    <row r="6" customFormat="false" ht="15" hidden="false" customHeight="true" outlineLevel="0" collapsed="false">
      <c r="B6" s="14" t="n">
        <v>1</v>
      </c>
      <c r="C6" s="8" t="s">
        <v>34</v>
      </c>
      <c r="D6" s="8" t="s">
        <v>35</v>
      </c>
      <c r="E6" s="14" t="s">
        <v>36</v>
      </c>
      <c r="F6" s="15" t="n">
        <v>165000</v>
      </c>
      <c r="G6" s="15" t="n">
        <v>140000</v>
      </c>
      <c r="H6" s="15" t="n">
        <v>170000</v>
      </c>
      <c r="I6" s="15" t="n">
        <v>200000</v>
      </c>
    </row>
    <row r="7" customFormat="false" ht="15" hidden="false" customHeight="true" outlineLevel="0" collapsed="false">
      <c r="B7" s="16" t="n">
        <v>2</v>
      </c>
      <c r="C7" s="9" t="s">
        <v>37</v>
      </c>
      <c r="D7" s="9" t="s">
        <v>38</v>
      </c>
      <c r="E7" s="16" t="s">
        <v>36</v>
      </c>
      <c r="F7" s="17" t="n">
        <v>195000</v>
      </c>
      <c r="G7" s="17" t="n">
        <v>140000</v>
      </c>
      <c r="H7" s="17" t="n">
        <v>170000</v>
      </c>
      <c r="I7" s="17" t="n">
        <v>200000</v>
      </c>
    </row>
    <row r="8" customFormat="false" ht="15" hidden="false" customHeight="true" outlineLevel="0" collapsed="false">
      <c r="B8" s="14" t="n">
        <v>3</v>
      </c>
      <c r="C8" s="8" t="s">
        <v>39</v>
      </c>
      <c r="D8" s="8" t="s">
        <v>40</v>
      </c>
      <c r="E8" s="14" t="s">
        <v>41</v>
      </c>
      <c r="F8" s="15" t="n">
        <v>230000</v>
      </c>
      <c r="G8" s="15" t="n">
        <v>180000</v>
      </c>
      <c r="H8" s="15" t="n">
        <v>220000</v>
      </c>
      <c r="I8" s="15" t="n">
        <v>260000</v>
      </c>
    </row>
    <row r="9" customFormat="false" ht="15" hidden="false" customHeight="true" outlineLevel="0" collapsed="false">
      <c r="B9" s="16" t="n">
        <v>4</v>
      </c>
      <c r="C9" s="9" t="s">
        <v>42</v>
      </c>
      <c r="D9" s="9" t="s">
        <v>43</v>
      </c>
      <c r="E9" s="16" t="s">
        <v>44</v>
      </c>
      <c r="F9" s="17" t="n">
        <v>95000</v>
      </c>
      <c r="G9" s="17" t="n">
        <v>80000</v>
      </c>
      <c r="H9" s="17" t="n">
        <v>100000</v>
      </c>
      <c r="I9" s="17" t="n">
        <v>120000</v>
      </c>
    </row>
    <row r="10" customFormat="false" ht="15" hidden="false" customHeight="true" outlineLevel="0" collapsed="false">
      <c r="B10" s="14" t="n">
        <v>5</v>
      </c>
      <c r="C10" s="8" t="s">
        <v>45</v>
      </c>
      <c r="D10" s="8" t="s">
        <v>46</v>
      </c>
      <c r="E10" s="14" t="s">
        <v>47</v>
      </c>
      <c r="F10" s="15" t="n">
        <v>62000</v>
      </c>
      <c r="G10" s="15" t="n">
        <v>60000</v>
      </c>
      <c r="H10" s="15" t="n">
        <v>75000</v>
      </c>
      <c r="I10" s="15" t="n">
        <v>90000</v>
      </c>
    </row>
    <row r="11" customFormat="false" ht="15" hidden="false" customHeight="true" outlineLevel="0" collapsed="false">
      <c r="B11" s="16" t="n">
        <v>6</v>
      </c>
      <c r="C11" s="9" t="s">
        <v>48</v>
      </c>
      <c r="D11" s="9" t="s">
        <v>49</v>
      </c>
      <c r="E11" s="16" t="s">
        <v>50</v>
      </c>
      <c r="F11" s="17" t="n">
        <v>380000</v>
      </c>
      <c r="G11" s="17" t="n">
        <v>300000</v>
      </c>
      <c r="H11" s="17" t="n">
        <v>360000</v>
      </c>
      <c r="I11" s="17" t="n">
        <v>420000</v>
      </c>
    </row>
    <row r="12" customFormat="false" ht="15" hidden="false" customHeight="true" outlineLevel="0" collapsed="false">
      <c r="B12" s="14" t="n">
        <v>7</v>
      </c>
      <c r="C12" s="8" t="s">
        <v>51</v>
      </c>
      <c r="D12" s="8" t="s">
        <v>52</v>
      </c>
      <c r="E12" s="14" t="s">
        <v>41</v>
      </c>
      <c r="F12" s="15" t="n">
        <v>215000</v>
      </c>
      <c r="G12" s="15" t="n">
        <v>180000</v>
      </c>
      <c r="H12" s="15" t="n">
        <v>220000</v>
      </c>
      <c r="I12" s="15" t="n">
        <v>260000</v>
      </c>
    </row>
    <row r="13" customFormat="false" ht="15" hidden="false" customHeight="true" outlineLevel="0" collapsed="false">
      <c r="B13" s="16" t="n">
        <v>8</v>
      </c>
      <c r="C13" s="9" t="s">
        <v>53</v>
      </c>
      <c r="D13" s="9" t="s">
        <v>54</v>
      </c>
      <c r="E13" s="16" t="s">
        <v>44</v>
      </c>
      <c r="F13" s="17" t="n">
        <v>85000</v>
      </c>
      <c r="G13" s="17" t="n">
        <v>80000</v>
      </c>
      <c r="H13" s="17" t="n">
        <v>100000</v>
      </c>
      <c r="I13" s="17" t="n">
        <v>120000</v>
      </c>
    </row>
    <row r="14" customFormat="false" ht="15" hidden="false" customHeight="true" outlineLevel="0" collapsed="false">
      <c r="B14" s="14" t="n">
        <v>9</v>
      </c>
      <c r="C14" s="8" t="s">
        <v>55</v>
      </c>
      <c r="D14" s="8" t="s">
        <v>56</v>
      </c>
      <c r="E14" s="14" t="s">
        <v>36</v>
      </c>
      <c r="F14" s="15" t="n">
        <v>170000</v>
      </c>
      <c r="G14" s="15" t="n">
        <v>140000</v>
      </c>
      <c r="H14" s="15" t="n">
        <v>170000</v>
      </c>
      <c r="I14" s="15" t="n">
        <v>200000</v>
      </c>
    </row>
    <row r="15" customFormat="false" ht="15" hidden="false" customHeight="true" outlineLevel="0" collapsed="false">
      <c r="B15" s="16" t="n">
        <v>10</v>
      </c>
      <c r="C15" s="9" t="s">
        <v>57</v>
      </c>
      <c r="D15" s="9" t="s">
        <v>58</v>
      </c>
      <c r="E15" s="16" t="s">
        <v>59</v>
      </c>
      <c r="F15" s="17" t="n">
        <v>118000</v>
      </c>
      <c r="G15" s="17" t="n">
        <v>110000</v>
      </c>
      <c r="H15" s="17" t="n">
        <v>135000</v>
      </c>
      <c r="I15" s="17" t="n">
        <v>160000</v>
      </c>
    </row>
    <row r="16" customFormat="false" ht="15" hidden="false" customHeight="true" outlineLevel="0" collapsed="false">
      <c r="B16" s="14" t="n">
        <v>11</v>
      </c>
      <c r="C16" s="8" t="s">
        <v>60</v>
      </c>
      <c r="D16" s="8" t="s">
        <v>61</v>
      </c>
      <c r="E16" s="14" t="s">
        <v>59</v>
      </c>
      <c r="F16" s="15" t="n">
        <v>155000</v>
      </c>
      <c r="G16" s="15" t="n">
        <v>110000</v>
      </c>
      <c r="H16" s="15" t="n">
        <v>135000</v>
      </c>
      <c r="I16" s="15" t="n">
        <v>160000</v>
      </c>
    </row>
    <row r="17" customFormat="false" ht="15" hidden="false" customHeight="true" outlineLevel="0" collapsed="false">
      <c r="B17" s="16" t="n">
        <v>12</v>
      </c>
      <c r="C17" s="9" t="s">
        <v>62</v>
      </c>
      <c r="D17" s="9" t="s">
        <v>63</v>
      </c>
      <c r="E17" s="16" t="s">
        <v>44</v>
      </c>
      <c r="F17" s="17" t="n">
        <v>90000</v>
      </c>
      <c r="G17" s="17" t="n">
        <v>80000</v>
      </c>
      <c r="H17" s="17" t="n">
        <v>100000</v>
      </c>
      <c r="I17" s="17" t="n">
        <v>120000</v>
      </c>
    </row>
    <row r="18" customFormat="false" ht="15" hidden="false" customHeight="true" outlineLevel="0" collapsed="false">
      <c r="B18" s="14" t="n">
        <v>13</v>
      </c>
      <c r="C18" s="8" t="s">
        <v>64</v>
      </c>
      <c r="D18" s="8" t="s">
        <v>65</v>
      </c>
      <c r="E18" s="14" t="s">
        <v>44</v>
      </c>
      <c r="F18" s="15" t="n">
        <v>105000</v>
      </c>
      <c r="G18" s="15" t="n">
        <v>80000</v>
      </c>
      <c r="H18" s="15" t="n">
        <v>100000</v>
      </c>
      <c r="I18" s="15" t="n">
        <v>120000</v>
      </c>
    </row>
    <row r="19" customFormat="false" ht="15" hidden="false" customHeight="true" outlineLevel="0" collapsed="false">
      <c r="B19" s="16" t="n">
        <v>14</v>
      </c>
      <c r="C19" s="9" t="s">
        <v>66</v>
      </c>
      <c r="D19" s="9" t="s">
        <v>67</v>
      </c>
      <c r="E19" s="16" t="s">
        <v>59</v>
      </c>
      <c r="F19" s="17" t="n">
        <v>128000</v>
      </c>
      <c r="G19" s="17" t="n">
        <v>110000</v>
      </c>
      <c r="H19" s="17" t="n">
        <v>135000</v>
      </c>
      <c r="I19" s="17" t="n">
        <v>160000</v>
      </c>
    </row>
    <row r="20" customFormat="false" ht="15" hidden="false" customHeight="true" outlineLevel="0" collapsed="false">
      <c r="B20" s="14" t="n">
        <v>15</v>
      </c>
      <c r="C20" s="8" t="s">
        <v>68</v>
      </c>
      <c r="D20" s="8" t="s">
        <v>69</v>
      </c>
      <c r="E20" s="14" t="s">
        <v>41</v>
      </c>
      <c r="F20" s="15" t="n">
        <v>245000</v>
      </c>
      <c r="G20" s="15" t="n">
        <v>180000</v>
      </c>
      <c r="H20" s="15" t="n">
        <v>220000</v>
      </c>
      <c r="I20" s="15" t="n">
        <v>260000</v>
      </c>
    </row>
  </sheetData>
  <autoFilter ref="B5:I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2" t="s">
        <v>70</v>
      </c>
    </row>
    <row r="3" customFormat="false" ht="15" hidden="false" customHeight="true" outlineLevel="0" collapsed="false">
      <c r="B3" s="13" t="s">
        <v>71</v>
      </c>
    </row>
    <row r="5" customFormat="false" ht="25.5" hidden="false" customHeight="true" outlineLevel="0" collapsed="false">
      <c r="B5" s="7" t="s">
        <v>26</v>
      </c>
      <c r="C5" s="7" t="s">
        <v>27</v>
      </c>
      <c r="D5" s="7" t="s">
        <v>29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customFormat="false" ht="15" hidden="false" customHeight="true" outlineLevel="0" collapsed="false">
      <c r="B6" s="14" t="n">
        <f aca="false">Input!B6</f>
        <v>1</v>
      </c>
      <c r="C6" s="8" t="str">
        <f aca="false">Input!C6</f>
        <v>Иванов И.И.</v>
      </c>
      <c r="D6" s="14" t="str">
        <f aca="false">Input!E6</f>
        <v>G5</v>
      </c>
      <c r="E6" s="15" t="n">
        <f aca="false">Input!F6</f>
        <v>165000</v>
      </c>
      <c r="F6" s="15" t="n">
        <f aca="false">Input!H6</f>
        <v>170000</v>
      </c>
      <c r="G6" s="18" t="n">
        <f aca="false">IFERROR(E6/F6,0)</f>
        <v>0.970588235294118</v>
      </c>
      <c r="H6" s="19" t="n">
        <f aca="false">IFERROR((Input!F6-Input!G6)/(Input!I6-Input!G6),0)</f>
        <v>0.416666666666667</v>
      </c>
      <c r="I6" s="14" t="str">
        <f aca="false">IF(G6&lt;0.8,"Ниже диапазона",IF(G6&gt;1.2,"Выше диапазона",IF(G6&lt;0.95,"Низкий target",IF(G6&gt;1.05,"Высокий target","В target"))))</f>
        <v>В target</v>
      </c>
    </row>
    <row r="7" customFormat="false" ht="15" hidden="false" customHeight="true" outlineLevel="0" collapsed="false">
      <c r="B7" s="16" t="n">
        <f aca="false">Input!B7</f>
        <v>2</v>
      </c>
      <c r="C7" s="9" t="str">
        <f aca="false">Input!C7</f>
        <v>Петрова А.С.</v>
      </c>
      <c r="D7" s="16" t="str">
        <f aca="false">Input!E7</f>
        <v>G5</v>
      </c>
      <c r="E7" s="17" t="n">
        <f aca="false">Input!F7</f>
        <v>195000</v>
      </c>
      <c r="F7" s="17" t="n">
        <f aca="false">Input!H7</f>
        <v>170000</v>
      </c>
      <c r="G7" s="20" t="n">
        <f aca="false">IFERROR(E7/F7,0)</f>
        <v>1.14705882352941</v>
      </c>
      <c r="H7" s="21" t="n">
        <f aca="false">IFERROR((Input!F7-Input!G7)/(Input!I7-Input!G7),0)</f>
        <v>0.916666666666667</v>
      </c>
      <c r="I7" s="16" t="str">
        <f aca="false">IF(G7&lt;0.8,"Ниже диапазона",IF(G7&gt;1.2,"Выше диапазона",IF(G7&lt;0.95,"Низкий target",IF(G7&gt;1.05,"Высокий target","В target"))))</f>
        <v>Высокий target</v>
      </c>
    </row>
    <row r="8" customFormat="false" ht="15" hidden="false" customHeight="true" outlineLevel="0" collapsed="false">
      <c r="B8" s="14" t="n">
        <f aca="false">Input!B8</f>
        <v>3</v>
      </c>
      <c r="C8" s="8" t="str">
        <f aca="false">Input!C8</f>
        <v>Смирнов В.А.</v>
      </c>
      <c r="D8" s="14" t="str">
        <f aca="false">Input!E8</f>
        <v>G6</v>
      </c>
      <c r="E8" s="15" t="n">
        <f aca="false">Input!F8</f>
        <v>230000</v>
      </c>
      <c r="F8" s="15" t="n">
        <f aca="false">Input!H8</f>
        <v>220000</v>
      </c>
      <c r="G8" s="18" t="n">
        <f aca="false">IFERROR(E8/F8,0)</f>
        <v>1.04545454545455</v>
      </c>
      <c r="H8" s="19" t="n">
        <f aca="false">IFERROR((Input!F8-Input!G8)/(Input!I8-Input!G8),0)</f>
        <v>0.625</v>
      </c>
      <c r="I8" s="14" t="str">
        <f aca="false">IF(G8&lt;0.8,"Ниже диапазона",IF(G8&gt;1.2,"Выше диапазона",IF(G8&lt;0.95,"Низкий target",IF(G8&gt;1.05,"Высокий target","В target"))))</f>
        <v>В target</v>
      </c>
    </row>
    <row r="9" customFormat="false" ht="15" hidden="false" customHeight="true" outlineLevel="0" collapsed="false">
      <c r="B9" s="16" t="n">
        <f aca="false">Input!B9</f>
        <v>4</v>
      </c>
      <c r="C9" s="9" t="str">
        <f aca="false">Input!C9</f>
        <v>Кузнецова Л.П.</v>
      </c>
      <c r="D9" s="16" t="str">
        <f aca="false">Input!E9</f>
        <v>G3</v>
      </c>
      <c r="E9" s="17" t="n">
        <f aca="false">Input!F9</f>
        <v>95000</v>
      </c>
      <c r="F9" s="17" t="n">
        <f aca="false">Input!H9</f>
        <v>100000</v>
      </c>
      <c r="G9" s="20" t="n">
        <f aca="false">IFERROR(E9/F9,0)</f>
        <v>0.95</v>
      </c>
      <c r="H9" s="21" t="n">
        <f aca="false">IFERROR((Input!F9-Input!G9)/(Input!I9-Input!G9),0)</f>
        <v>0.375</v>
      </c>
      <c r="I9" s="16" t="str">
        <f aca="false">IF(G9&lt;0.8,"Ниже диапазона",IF(G9&gt;1.2,"Выше диапазона",IF(G9&lt;0.95,"Низкий target",IF(G9&gt;1.05,"Высокий target","В target"))))</f>
        <v>В target</v>
      </c>
    </row>
    <row r="10" customFormat="false" ht="15" hidden="false" customHeight="true" outlineLevel="0" collapsed="false">
      <c r="B10" s="14" t="n">
        <f aca="false">Input!B10</f>
        <v>5</v>
      </c>
      <c r="C10" s="8" t="str">
        <f aca="false">Input!C10</f>
        <v>Соколов Д.М.</v>
      </c>
      <c r="D10" s="14" t="str">
        <f aca="false">Input!E10</f>
        <v>G2</v>
      </c>
      <c r="E10" s="15" t="n">
        <f aca="false">Input!F10</f>
        <v>62000</v>
      </c>
      <c r="F10" s="15" t="n">
        <f aca="false">Input!H10</f>
        <v>75000</v>
      </c>
      <c r="G10" s="18" t="n">
        <f aca="false">IFERROR(E10/F10,0)</f>
        <v>0.826666666666667</v>
      </c>
      <c r="H10" s="19" t="n">
        <f aca="false">IFERROR((Input!F10-Input!G10)/(Input!I10-Input!G10),0)</f>
        <v>0.0666666666666667</v>
      </c>
      <c r="I10" s="14" t="str">
        <f aca="false">IF(G10&lt;0.8,"Ниже диапазона",IF(G10&gt;1.2,"Выше диапазона",IF(G10&lt;0.95,"Низкий target",IF(G10&gt;1.05,"Высокий target","В target"))))</f>
        <v>Низкий target</v>
      </c>
    </row>
    <row r="11" customFormat="false" ht="15" hidden="false" customHeight="true" outlineLevel="0" collapsed="false">
      <c r="B11" s="16" t="n">
        <f aca="false">Input!B11</f>
        <v>6</v>
      </c>
      <c r="C11" s="9" t="str">
        <f aca="false">Input!C11</f>
        <v>Морозова Е.К.</v>
      </c>
      <c r="D11" s="16" t="str">
        <f aca="false">Input!E11</f>
        <v>G7</v>
      </c>
      <c r="E11" s="17" t="n">
        <f aca="false">Input!F11</f>
        <v>380000</v>
      </c>
      <c r="F11" s="17" t="n">
        <f aca="false">Input!H11</f>
        <v>360000</v>
      </c>
      <c r="G11" s="20" t="n">
        <f aca="false">IFERROR(E11/F11,0)</f>
        <v>1.05555555555556</v>
      </c>
      <c r="H11" s="21" t="n">
        <f aca="false">IFERROR((Input!F11-Input!G11)/(Input!I11-Input!G11),0)</f>
        <v>0.666666666666667</v>
      </c>
      <c r="I11" s="16" t="str">
        <f aca="false">IF(G11&lt;0.8,"Ниже диапазона",IF(G11&gt;1.2,"Выше диапазона",IF(G11&lt;0.95,"Низкий target",IF(G11&gt;1.05,"Высокий target","В target"))))</f>
        <v>Высокий target</v>
      </c>
    </row>
    <row r="12" customFormat="false" ht="15" hidden="false" customHeight="true" outlineLevel="0" collapsed="false">
      <c r="B12" s="14" t="n">
        <f aca="false">Input!B12</f>
        <v>7</v>
      </c>
      <c r="C12" s="8" t="str">
        <f aca="false">Input!C12</f>
        <v>Васильев П.А.</v>
      </c>
      <c r="D12" s="14" t="str">
        <f aca="false">Input!E12</f>
        <v>G6</v>
      </c>
      <c r="E12" s="15" t="n">
        <f aca="false">Input!F12</f>
        <v>215000</v>
      </c>
      <c r="F12" s="15" t="n">
        <f aca="false">Input!H12</f>
        <v>220000</v>
      </c>
      <c r="G12" s="18" t="n">
        <f aca="false">IFERROR(E12/F12,0)</f>
        <v>0.977272727272727</v>
      </c>
      <c r="H12" s="19" t="n">
        <f aca="false">IFERROR((Input!F12-Input!G12)/(Input!I12-Input!G12),0)</f>
        <v>0.4375</v>
      </c>
      <c r="I12" s="14" t="str">
        <f aca="false">IF(G12&lt;0.8,"Ниже диапазона",IF(G12&gt;1.2,"Выше диапазона",IF(G12&lt;0.95,"Низкий target",IF(G12&gt;1.05,"Высокий target","В target"))))</f>
        <v>В target</v>
      </c>
    </row>
    <row r="13" customFormat="false" ht="15" hidden="false" customHeight="true" outlineLevel="0" collapsed="false">
      <c r="B13" s="16" t="n">
        <f aca="false">Input!B13</f>
        <v>8</v>
      </c>
      <c r="C13" s="9" t="str">
        <f aca="false">Input!C13</f>
        <v>Зайцева О.В.</v>
      </c>
      <c r="D13" s="16" t="str">
        <f aca="false">Input!E13</f>
        <v>G3</v>
      </c>
      <c r="E13" s="17" t="n">
        <f aca="false">Input!F13</f>
        <v>85000</v>
      </c>
      <c r="F13" s="17" t="n">
        <f aca="false">Input!H13</f>
        <v>100000</v>
      </c>
      <c r="G13" s="20" t="n">
        <f aca="false">IFERROR(E13/F13,0)</f>
        <v>0.85</v>
      </c>
      <c r="H13" s="21" t="n">
        <f aca="false">IFERROR((Input!F13-Input!G13)/(Input!I13-Input!G13),0)</f>
        <v>0.125</v>
      </c>
      <c r="I13" s="16" t="str">
        <f aca="false">IF(G13&lt;0.8,"Ниже диапазона",IF(G13&gt;1.2,"Выше диапазона",IF(G13&lt;0.95,"Низкий target",IF(G13&gt;1.05,"Высокий target","В target"))))</f>
        <v>Низкий target</v>
      </c>
    </row>
    <row r="14" customFormat="false" ht="15" hidden="false" customHeight="true" outlineLevel="0" collapsed="false">
      <c r="B14" s="14" t="n">
        <f aca="false">Input!B14</f>
        <v>9</v>
      </c>
      <c r="C14" s="8" t="str">
        <f aca="false">Input!C14</f>
        <v>Павлов С.Н.</v>
      </c>
      <c r="D14" s="14" t="str">
        <f aca="false">Input!E14</f>
        <v>G5</v>
      </c>
      <c r="E14" s="15" t="n">
        <f aca="false">Input!F14</f>
        <v>170000</v>
      </c>
      <c r="F14" s="15" t="n">
        <f aca="false">Input!H14</f>
        <v>170000</v>
      </c>
      <c r="G14" s="18" t="n">
        <f aca="false">IFERROR(E14/F14,0)</f>
        <v>1</v>
      </c>
      <c r="H14" s="19" t="n">
        <f aca="false">IFERROR((Input!F14-Input!G14)/(Input!I14-Input!G14),0)</f>
        <v>0.5</v>
      </c>
      <c r="I14" s="14" t="str">
        <f aca="false">IF(G14&lt;0.8,"Ниже диапазона",IF(G14&gt;1.2,"Выше диапазона",IF(G14&lt;0.95,"Низкий target",IF(G14&gt;1.05,"Высокий target","В target"))))</f>
        <v>В target</v>
      </c>
    </row>
    <row r="15" customFormat="false" ht="15" hidden="false" customHeight="true" outlineLevel="0" collapsed="false">
      <c r="B15" s="16" t="n">
        <f aca="false">Input!B15</f>
        <v>10</v>
      </c>
      <c r="C15" s="9" t="str">
        <f aca="false">Input!C15</f>
        <v>Семенова Т.Б.</v>
      </c>
      <c r="D15" s="16" t="str">
        <f aca="false">Input!E15</f>
        <v>G4</v>
      </c>
      <c r="E15" s="17" t="n">
        <f aca="false">Input!F15</f>
        <v>118000</v>
      </c>
      <c r="F15" s="17" t="n">
        <f aca="false">Input!H15</f>
        <v>135000</v>
      </c>
      <c r="G15" s="20" t="n">
        <f aca="false">IFERROR(E15/F15,0)</f>
        <v>0.874074074074074</v>
      </c>
      <c r="H15" s="21" t="n">
        <f aca="false">IFERROR((Input!F15-Input!G15)/(Input!I15-Input!G15),0)</f>
        <v>0.16</v>
      </c>
      <c r="I15" s="16" t="str">
        <f aca="false">IF(G15&lt;0.8,"Ниже диапазона",IF(G15&gt;1.2,"Выше диапазона",IF(G15&lt;0.95,"Низкий target",IF(G15&gt;1.05,"Высокий target","В target"))))</f>
        <v>Низкий target</v>
      </c>
    </row>
    <row r="16" customFormat="false" ht="15" hidden="false" customHeight="true" outlineLevel="0" collapsed="false">
      <c r="B16" s="14" t="n">
        <f aca="false">Input!B16</f>
        <v>11</v>
      </c>
      <c r="C16" s="8" t="str">
        <f aca="false">Input!C16</f>
        <v>Голубев К.Е.</v>
      </c>
      <c r="D16" s="14" t="str">
        <f aca="false">Input!E16</f>
        <v>G4</v>
      </c>
      <c r="E16" s="15" t="n">
        <f aca="false">Input!F16</f>
        <v>155000</v>
      </c>
      <c r="F16" s="15" t="n">
        <f aca="false">Input!H16</f>
        <v>135000</v>
      </c>
      <c r="G16" s="18" t="n">
        <f aca="false">IFERROR(E16/F16,0)</f>
        <v>1.14814814814815</v>
      </c>
      <c r="H16" s="19" t="n">
        <f aca="false">IFERROR((Input!F16-Input!G16)/(Input!I16-Input!G16),0)</f>
        <v>0.9</v>
      </c>
      <c r="I16" s="14" t="str">
        <f aca="false">IF(G16&lt;0.8,"Ниже диапазона",IF(G16&gt;1.2,"Выше диапазона",IF(G16&lt;0.95,"Низкий target",IF(G16&gt;1.05,"Высокий target","В target"))))</f>
        <v>Высокий target</v>
      </c>
    </row>
    <row r="17" customFormat="false" ht="15" hidden="false" customHeight="true" outlineLevel="0" collapsed="false">
      <c r="B17" s="16" t="n">
        <f aca="false">Input!B17</f>
        <v>12</v>
      </c>
      <c r="C17" s="9" t="str">
        <f aca="false">Input!C17</f>
        <v>Виноградова М.Д.</v>
      </c>
      <c r="D17" s="16" t="str">
        <f aca="false">Input!E17</f>
        <v>G3</v>
      </c>
      <c r="E17" s="17" t="n">
        <f aca="false">Input!F17</f>
        <v>90000</v>
      </c>
      <c r="F17" s="17" t="n">
        <f aca="false">Input!H17</f>
        <v>100000</v>
      </c>
      <c r="G17" s="20" t="n">
        <f aca="false">IFERROR(E17/F17,0)</f>
        <v>0.9</v>
      </c>
      <c r="H17" s="21" t="n">
        <f aca="false">IFERROR((Input!F17-Input!G17)/(Input!I17-Input!G17),0)</f>
        <v>0.25</v>
      </c>
      <c r="I17" s="16" t="str">
        <f aca="false">IF(G17&lt;0.8,"Ниже диапазона",IF(G17&gt;1.2,"Выше диапазона",IF(G17&lt;0.95,"Низкий target",IF(G17&gt;1.05,"Высокий target","В target"))))</f>
        <v>Низкий target</v>
      </c>
    </row>
    <row r="18" customFormat="false" ht="15" hidden="false" customHeight="true" outlineLevel="0" collapsed="false">
      <c r="B18" s="14" t="n">
        <f aca="false">Input!B18</f>
        <v>13</v>
      </c>
      <c r="C18" s="8" t="str">
        <f aca="false">Input!C18</f>
        <v>Богданов Р.И.</v>
      </c>
      <c r="D18" s="14" t="str">
        <f aca="false">Input!E18</f>
        <v>G3</v>
      </c>
      <c r="E18" s="15" t="n">
        <f aca="false">Input!F18</f>
        <v>105000</v>
      </c>
      <c r="F18" s="15" t="n">
        <f aca="false">Input!H18</f>
        <v>100000</v>
      </c>
      <c r="G18" s="18" t="n">
        <f aca="false">IFERROR(E18/F18,0)</f>
        <v>1.05</v>
      </c>
      <c r="H18" s="19" t="n">
        <f aca="false">IFERROR((Input!F18-Input!G18)/(Input!I18-Input!G18),0)</f>
        <v>0.625</v>
      </c>
      <c r="I18" s="14" t="str">
        <f aca="false">IF(G18&lt;0.8,"Ниже диапазона",IF(G18&gt;1.2,"Выше диапазона",IF(G18&lt;0.95,"Низкий target",IF(G18&gt;1.05,"Высокий target","В target"))))</f>
        <v>В target</v>
      </c>
    </row>
    <row r="19" customFormat="false" ht="15" hidden="false" customHeight="true" outlineLevel="0" collapsed="false">
      <c r="B19" s="16" t="n">
        <f aca="false">Input!B19</f>
        <v>14</v>
      </c>
      <c r="C19" s="9" t="str">
        <f aca="false">Input!C19</f>
        <v>Воробьева Н.А.</v>
      </c>
      <c r="D19" s="16" t="str">
        <f aca="false">Input!E19</f>
        <v>G4</v>
      </c>
      <c r="E19" s="17" t="n">
        <f aca="false">Input!F19</f>
        <v>128000</v>
      </c>
      <c r="F19" s="17" t="n">
        <f aca="false">Input!H19</f>
        <v>135000</v>
      </c>
      <c r="G19" s="20" t="n">
        <f aca="false">IFERROR(E19/F19,0)</f>
        <v>0.948148148148148</v>
      </c>
      <c r="H19" s="21" t="n">
        <f aca="false">IFERROR((Input!F19-Input!G19)/(Input!I19-Input!G19),0)</f>
        <v>0.36</v>
      </c>
      <c r="I19" s="16" t="str">
        <f aca="false">IF(G19&lt;0.8,"Ниже диапазона",IF(G19&gt;1.2,"Выше диапазона",IF(G19&lt;0.95,"Низкий target",IF(G19&gt;1.05,"Высокий target","В target"))))</f>
        <v>Низкий target</v>
      </c>
    </row>
    <row r="20" customFormat="false" ht="15" hidden="false" customHeight="true" outlineLevel="0" collapsed="false">
      <c r="B20" s="14" t="n">
        <f aca="false">Input!B20</f>
        <v>15</v>
      </c>
      <c r="C20" s="8" t="str">
        <f aca="false">Input!C20</f>
        <v>Григорьев А.Ю.</v>
      </c>
      <c r="D20" s="14" t="str">
        <f aca="false">Input!E20</f>
        <v>G6</v>
      </c>
      <c r="E20" s="15" t="n">
        <f aca="false">Input!F20</f>
        <v>245000</v>
      </c>
      <c r="F20" s="15" t="n">
        <f aca="false">Input!H20</f>
        <v>220000</v>
      </c>
      <c r="G20" s="18" t="n">
        <f aca="false">IFERROR(E20/F20,0)</f>
        <v>1.11363636363636</v>
      </c>
      <c r="H20" s="19" t="n">
        <f aca="false">IFERROR((Input!F20-Input!G20)/(Input!I20-Input!G20),0)</f>
        <v>0.8125</v>
      </c>
      <c r="I20" s="14" t="str">
        <f aca="false">IF(G20&lt;0.8,"Ниже диапазона",IF(G20&gt;1.2,"Выше диапазона",IF(G20&lt;0.95,"Низкий target",IF(G20&gt;1.05,"Высокий target","В target"))))</f>
        <v>Высокий target</v>
      </c>
    </row>
  </sheetData>
  <autoFilter ref="B5:I20"/>
  <conditionalFormatting sqref="G6:G20">
    <cfRule type="cellIs" priority="2" operator="lessThan" aboveAverage="0" equalAverage="0" bottom="0" percent="0" rank="0" text="" dxfId="7">
      <formula>0.8</formula>
    </cfRule>
    <cfRule type="cellIs" priority="3" operator="greaterThan" aboveAverage="0" equalAverage="0" bottom="0" percent="0" rank="0" text="" dxfId="7">
      <formula>1.2</formula>
    </cfRule>
    <cfRule type="cellIs" priority="4" operator="between" aboveAverage="0" equalAverage="0" bottom="0" percent="0" rank="0" text="" dxfId="8">
      <formula>0.95</formula>
      <formula>1.05</formula>
    </cfRule>
    <cfRule type="cellIs" priority="5" operator="between" aboveAverage="0" equalAverage="0" bottom="0" percent="0" rank="0" text="" dxfId="9">
      <formula>0.8</formula>
      <formula>0.949999</formula>
    </cfRule>
    <cfRule type="cellIs" priority="6" operator="between" aboveAverage="0" equalAverage="0" bottom="0" percent="0" rank="0" text="" dxfId="9">
      <formula>1.050001</formula>
      <formula>1.2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18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2" t="s">
        <v>20</v>
      </c>
    </row>
    <row r="3" customFormat="false" ht="15" hidden="false" customHeight="true" outlineLevel="0" collapsed="false">
      <c r="B3" s="13" t="s">
        <v>77</v>
      </c>
    </row>
    <row r="5" customFormat="false" ht="25.5" hidden="false" customHeight="true" outlineLevel="0" collapsed="false">
      <c r="B5" s="7" t="s">
        <v>78</v>
      </c>
      <c r="C5" s="7" t="s">
        <v>79</v>
      </c>
      <c r="E5" s="7" t="s">
        <v>80</v>
      </c>
      <c r="F5" s="7" t="s">
        <v>74</v>
      </c>
    </row>
    <row r="6" customFormat="false" ht="15" hidden="false" customHeight="true" outlineLevel="0" collapsed="false">
      <c r="B6" s="8" t="s">
        <v>81</v>
      </c>
      <c r="C6" s="22" t="n">
        <f aca="false">AVERAGE(Calculation!G6:G20)</f>
        <v>0.990440219185317</v>
      </c>
      <c r="E6" s="8" t="str">
        <f aca="false">IFERROR(INDEX(Calculation!C$6:C$20,SMALL(IF((Calculation!G$6:G$20&lt;0.8)+(Calculation!G$6:G$20&gt;1.2),ROW(Calculation!C$6:C$20)-5),ROW()-5)),"")</f>
        <v>Иванов И.И.</v>
      </c>
      <c r="F6" s="23" t="n">
        <f aca="false">IFERROR(INDEX(Calculation!G$6:G$20,SMALL(IF((Calculation!G$6:G$20&lt;0.8)+(Calculation!G$6:G$20&gt;1.2),ROW(Calculation!G$6:G$20)-5),ROW()-5)),"")</f>
        <v>0.970588235294118</v>
      </c>
    </row>
    <row r="7" customFormat="false" ht="15" hidden="false" customHeight="true" outlineLevel="0" collapsed="false">
      <c r="B7" s="9" t="s">
        <v>82</v>
      </c>
      <c r="C7" s="24" t="n">
        <f aca="false">MEDIAN(Calculation!G6:G20)</f>
        <v>0.977272727272727</v>
      </c>
      <c r="E7" s="9" t="str">
        <f aca="false">IFERROR(INDEX(Calculation!C$6:C$20,SMALL(IF((Calculation!G$6:G$20&lt;0.8)+(Calculation!G$6:G$20&gt;1.2),ROW(Calculation!C$6:C$20)-5),ROW()-5)),"")</f>
        <v/>
      </c>
      <c r="F7" s="25" t="str">
        <f aca="false">IFERROR(INDEX(Calculation!G$6:G$20,SMALL(IF((Calculation!G$6:G$20&lt;0.8)+(Calculation!G$6:G$20&gt;1.2),ROW(Calculation!G$6:G$20)-5),ROW()-5)),"")</f>
        <v/>
      </c>
    </row>
    <row r="8" customFormat="false" ht="15" hidden="false" customHeight="true" outlineLevel="0" collapsed="false">
      <c r="B8" s="8" t="s">
        <v>83</v>
      </c>
      <c r="C8" s="26" t="n">
        <f aca="false">COUNTIF(Calculation!G6:G20,"&lt;0.8")/COUNTA(Calculation!G6:G20)</f>
        <v>0</v>
      </c>
      <c r="E8" s="8" t="str">
        <f aca="false">IFERROR(INDEX(Calculation!C$6:C$20,SMALL(IF((Calculation!G$6:G$20&lt;0.8)+(Calculation!G$6:G$20&gt;1.2),ROW(Calculation!C$6:C$20)-5),ROW()-5)),"")</f>
        <v/>
      </c>
      <c r="F8" s="23" t="str">
        <f aca="false">IFERROR(INDEX(Calculation!G$6:G$20,SMALL(IF((Calculation!G$6:G$20&lt;0.8)+(Calculation!G$6:G$20&gt;1.2),ROW(Calculation!G$6:G$20)-5),ROW()-5)),"")</f>
        <v/>
      </c>
    </row>
    <row r="9" customFormat="false" ht="15" hidden="false" customHeight="true" outlineLevel="0" collapsed="false">
      <c r="B9" s="9" t="s">
        <v>84</v>
      </c>
      <c r="C9" s="27" t="n">
        <f aca="false">COUNTIF(Calculation!G6:G20,"&gt;1.2")/COUNTA(Calculation!G6:G20)</f>
        <v>0</v>
      </c>
      <c r="E9" s="9" t="str">
        <f aca="false">IFERROR(INDEX(Calculation!C$6:C$20,SMALL(IF((Calculation!G$6:G$20&lt;0.8)+(Calculation!G$6:G$20&gt;1.2),ROW(Calculation!C$6:C$20)-5),ROW()-5)),"")</f>
        <v/>
      </c>
      <c r="F9" s="25" t="str">
        <f aca="false">IFERROR(INDEX(Calculation!G$6:G$20,SMALL(IF((Calculation!G$6:G$20&lt;0.8)+(Calculation!G$6:G$20&gt;1.2),ROW(Calculation!G$6:G$20)-5),ROW()-5)),"")</f>
        <v/>
      </c>
    </row>
    <row r="10" customFormat="false" ht="15" hidden="false" customHeight="true" outlineLevel="0" collapsed="false">
      <c r="B10" s="8" t="s">
        <v>85</v>
      </c>
      <c r="C10" s="28" t="n">
        <f aca="false">COUNTA(Calculation!B6:B20)</f>
        <v>15</v>
      </c>
      <c r="E10" s="8" t="str">
        <f aca="false">IFERROR(INDEX(Calculation!C$6:C$20,SMALL(IF((Calculation!G$6:G$20&lt;0.8)+(Calculation!G$6:G$20&gt;1.2),ROW(Calculation!C$6:C$20)-5),ROW()-5)),"")</f>
        <v/>
      </c>
      <c r="F10" s="23" t="str">
        <f aca="false">IFERROR(INDEX(Calculation!G$6:G$20,SMALL(IF((Calculation!G$6:G$20&lt;0.8)+(Calculation!G$6:G$20&gt;1.2),ROW(Calculation!G$6:G$20)-5),ROW()-5)),"")</f>
        <v/>
      </c>
    </row>
    <row r="11" customFormat="false" ht="15" hidden="false" customHeight="true" outlineLevel="0" collapsed="false">
      <c r="B11" s="9" t="s">
        <v>86</v>
      </c>
      <c r="C11" s="29" t="n">
        <f aca="false">AVERAGE(Input!F6:F20)</f>
        <v>162533.333333333</v>
      </c>
      <c r="E11" s="9" t="str">
        <f aca="false">IFERROR(INDEX(Calculation!C$6:C$20,SMALL(IF((Calculation!G$6:G$20&lt;0.8)+(Calculation!G$6:G$20&gt;1.2),ROW(Calculation!C$6:C$20)-5),ROW()-5)),"")</f>
        <v/>
      </c>
      <c r="F11" s="25" t="str">
        <f aca="false">IFERROR(INDEX(Calculation!G$6:G$20,SMALL(IF((Calculation!G$6:G$20&lt;0.8)+(Calculation!G$6:G$20&gt;1.2),ROW(Calculation!G$6:G$20)-5),ROW()-5)),"")</f>
        <v/>
      </c>
    </row>
    <row r="12" customFormat="false" ht="15" hidden="false" customHeight="true" outlineLevel="0" collapsed="false">
      <c r="B12" s="8" t="s">
        <v>87</v>
      </c>
      <c r="C12" s="26" t="n">
        <f aca="false">AVERAGE(Calculation!H6:H20)</f>
        <v>0.482444444444444</v>
      </c>
      <c r="E12" s="8" t="str">
        <f aca="false">IFERROR(INDEX(Calculation!C$6:C$20,SMALL(IF((Calculation!G$6:G$20&lt;0.8)+(Calculation!G$6:G$20&gt;1.2),ROW(Calculation!C$6:C$20)-5),ROW()-5)),"")</f>
        <v/>
      </c>
      <c r="F12" s="23" t="str">
        <f aca="false">IFERROR(INDEX(Calculation!G$6:G$20,SMALL(IF((Calculation!G$6:G$20&lt;0.8)+(Calculation!G$6:G$20&gt;1.2),ROW(Calculation!G$6:G$20)-5),ROW()-5)),"")</f>
        <v/>
      </c>
    </row>
    <row r="13" customFormat="false" ht="15" hidden="false" customHeight="true" outlineLevel="0" collapsed="false">
      <c r="E13" s="9" t="str">
        <f aca="false">IFERROR(INDEX(Calculation!C$6:C$20,SMALL(IF((Calculation!G$6:G$20&lt;0.8)+(Calculation!G$6:G$20&gt;1.2),ROW(Calculation!C$6:C$20)-5),ROW()-5)),"")</f>
        <v/>
      </c>
      <c r="F13" s="25" t="str">
        <f aca="false">IFERROR(INDEX(Calculation!G$6:G$20,SMALL(IF((Calculation!G$6:G$20&lt;0.8)+(Calculation!G$6:G$20&gt;1.2),ROW(Calculation!G$6:G$20)-5),ROW()-5)),"")</f>
        <v/>
      </c>
    </row>
    <row r="14" customFormat="false" ht="15" hidden="false" customHeight="true" outlineLevel="0" collapsed="false">
      <c r="E14" s="8" t="str">
        <f aca="false">IFERROR(INDEX(Calculation!C$6:C$20,SMALL(IF((Calculation!G$6:G$20&lt;0.8)+(Calculation!G$6:G$20&gt;1.2),ROW(Calculation!C$6:C$20)-5),ROW()-5)),"")</f>
        <v/>
      </c>
      <c r="F14" s="23" t="str">
        <f aca="false">IFERROR(INDEX(Calculation!G$6:G$20,SMALL(IF((Calculation!G$6:G$20&lt;0.8)+(Calculation!G$6:G$20&gt;1.2),ROW(Calculation!G$6:G$20)-5),ROW()-5)),"")</f>
        <v/>
      </c>
    </row>
    <row r="15" customFormat="false" ht="15" hidden="false" customHeight="true" outlineLevel="0" collapsed="false">
      <c r="E15" s="9" t="str">
        <f aca="false">IFERROR(INDEX(Calculation!C$6:C$20,SMALL(IF((Calculation!G$6:G$20&lt;0.8)+(Calculation!G$6:G$20&gt;1.2),ROW(Calculation!C$6:C$20)-5),ROW()-5)),"")</f>
        <v/>
      </c>
      <c r="F15" s="25" t="str">
        <f aca="false">IFERROR(INDEX(Calculation!G$6:G$20,SMALL(IF((Calculation!G$6:G$20&lt;0.8)+(Calculation!G$6:G$20&gt;1.2),ROW(Calculation!G$6:G$20)-5),ROW()-5)),"")</f>
        <v/>
      </c>
    </row>
    <row r="17" customFormat="false" ht="15.75" hidden="false" customHeight="true" outlineLevel="0" collapsed="false">
      <c r="B17" s="30" t="s">
        <v>88</v>
      </c>
    </row>
    <row r="18" customFormat="false" ht="15" hidden="false" customHeight="true" outlineLevel="0" collapsed="false">
      <c r="B18" s="8" t="s">
        <v>89</v>
      </c>
      <c r="C18" s="31" t="n">
        <f aca="false">COUNTIF(Calculation!I6:I20,"Ниже диапазона")</f>
        <v>0</v>
      </c>
    </row>
    <row r="19" customFormat="false" ht="15" hidden="false" customHeight="true" outlineLevel="0" collapsed="false">
      <c r="B19" s="9" t="s">
        <v>90</v>
      </c>
      <c r="C19" s="32" t="n">
        <f aca="false">COUNTIF(Calculation!I6:I20,"Низкий target")</f>
        <v>5</v>
      </c>
    </row>
    <row r="20" customFormat="false" ht="15" hidden="false" customHeight="true" outlineLevel="0" collapsed="false">
      <c r="B20" s="8" t="s">
        <v>91</v>
      </c>
      <c r="C20" s="31" t="n">
        <f aca="false">COUNTIF(Calculation!I6:I20,"В target")</f>
        <v>6</v>
      </c>
    </row>
    <row r="21" customFormat="false" ht="15" hidden="false" customHeight="true" outlineLevel="0" collapsed="false">
      <c r="B21" s="9" t="s">
        <v>92</v>
      </c>
      <c r="C21" s="32" t="n">
        <f aca="false">COUNTIF(Calculation!I6:I20,"Высокий target")</f>
        <v>4</v>
      </c>
    </row>
    <row r="22" customFormat="false" ht="15" hidden="false" customHeight="true" outlineLevel="0" collapsed="false">
      <c r="B22" s="8" t="s">
        <v>93</v>
      </c>
      <c r="C22" s="31" t="n">
        <f aca="false">COUNTIF(Calculation!I6:I20,"Выше диапазона")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2026-05-12T15:25:17Z</dcterms:created>
  <dc:creator>openpyxl</dc:creator>
  <dc:description/>
  <dc:language>en-US</dc:language>
  <cp:lastModifiedBy/>
  <dcterms:modified xsi:type="dcterms:W3CDTF">2026-05-12T15:25:49Z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