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Questionnaire" sheetId="2" state="visible" r:id="rId4"/>
    <sheet name="Scoring" sheetId="3" state="visible" r:id="rId5"/>
    <sheet name="Results" sheetId="4" state="visible" r:id="rId6"/>
  </sheets>
  <definedNames>
    <definedName function="false" hidden="true" localSheetId="1" name="_xlnm._FilterDatabase" vbProcedure="false">Questionnaire!$B$5:$E$30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<sst xmlns="http://schemas.openxmlformats.org/spreadsheetml/2006/main" count="102" uniqueCount="74">
  <si>
    <t xml:space="preserve">C&amp;B TOOLKIT  ·  FREE · C&amp;B Health Check</t>
  </si>
  <si>
    <t xml:space="preserve">Назначение</t>
  </si>
  <si>
    <t xml:space="preserve">Экспресс-диагностика зрелости системы C&amp;B по 6 блокам и 25 вопросам. Итоговый индекс зрелости и рекомендации.</t>
  </si>
  <si>
    <t xml:space="preserve">Целевая аудитория</t>
  </si>
  <si>
    <t xml:space="preserve">HRD, C&amp;B-менеджеры, CFO, CEO компаний 100–3000 сотрудников.</t>
  </si>
  <si>
    <t xml:space="preserve">Как использовать</t>
  </si>
  <si>
    <t xml:space="preserve">1) Заполните оценки 1–5 на листе Questionnaire. 2) Лист Scoring рассчитает блоки. 3) Откройте Results для индекса и рекомендаций.</t>
  </si>
  <si>
    <t xml:space="preserve">Язык</t>
  </si>
  <si>
    <t xml:space="preserve">RU</t>
  </si>
  <si>
    <t xml:space="preserve">Версия</t>
  </si>
  <si>
    <t xml:space="preserve">1.0</t>
  </si>
  <si>
    <t xml:space="preserve">Контакт</t>
  </si>
  <si>
    <t xml:space="preserve">C&amp;B Toolkit · pahanit@gmail.com</t>
  </si>
  <si>
    <t xml:space="preserve">Структура файла</t>
  </si>
  <si>
    <t xml:space="preserve">Лист</t>
  </si>
  <si>
    <t xml:space="preserve">Что внутри</t>
  </si>
  <si>
    <t xml:space="preserve">Questionnaire</t>
  </si>
  <si>
    <t xml:space="preserve">25 вопросов, оценка 1–5.</t>
  </si>
  <si>
    <t xml:space="preserve">Scoring</t>
  </si>
  <si>
    <t xml:space="preserve">Расчет по блокам и итоговый индекс.</t>
  </si>
  <si>
    <t xml:space="preserve">Results</t>
  </si>
  <si>
    <t xml:space="preserve">Уровень зрелости и рекомендации.</t>
  </si>
  <si>
    <t xml:space="preserve">Дисклеймер</t>
  </si>
  <si>
    <t xml:space="preserve">Шаблон предоставляется «как есть». Примерные данные сгенерированы случайно и не отражают реальный рынок. Проверяйте формулы перед использованием в продуктивных решениях. © C&amp;B Toolkit, pahanit@gmail.com.</t>
  </si>
  <si>
    <t xml:space="preserve">Опрос</t>
  </si>
  <si>
    <t xml:space="preserve">Оцените текущее состояние по шкале 1 — нет; 2 — фрагментарно; 3 — формально; 4 — работает; 5 — лучшие практики.</t>
  </si>
  <si>
    <t xml:space="preserve">Блок</t>
  </si>
  <si>
    <t xml:space="preserve">Вопрос</t>
  </si>
  <si>
    <t xml:space="preserve">Оценка (1–5)</t>
  </si>
  <si>
    <t xml:space="preserve">Комментарий</t>
  </si>
  <si>
    <t xml:space="preserve">Грейды</t>
  </si>
  <si>
    <t xml:space="preserve">Существует ли формализованная грейдовая структура?</t>
  </si>
  <si>
    <t xml:space="preserve">Используются ли единые принципы оценки должностей (job evaluation)?</t>
  </si>
  <si>
    <t xml:space="preserve">Регулярно ли обновляется грейдовая структура (раз в 1–2 года)?</t>
  </si>
  <si>
    <t xml:space="preserve">Соответствие грейда уровню ответственности понятно сотрудникам.</t>
  </si>
  <si>
    <t xml:space="preserve">Грейды используются при найме и продвижении.</t>
  </si>
  <si>
    <t xml:space="preserve">Вилки</t>
  </si>
  <si>
    <t xml:space="preserve">Установлены min/mid/max для каждого грейда.</t>
  </si>
  <si>
    <t xml:space="preserve">Mid-точки калибруются с рыночными данными.</t>
  </si>
  <si>
    <t xml:space="preserve">Range spread разумен (20–60% по грейдам).</t>
  </si>
  <si>
    <t xml:space="preserve">Compa-ratio регулярно мониторится.</t>
  </si>
  <si>
    <t xml:space="preserve">Есть процедура для случаев below/above range.</t>
  </si>
  <si>
    <t xml:space="preserve">Премии</t>
  </si>
  <si>
    <t xml:space="preserve">Премиальная схема прозрачна для сотрудников.</t>
  </si>
  <si>
    <t xml:space="preserve">Премии связаны с KPI и стратегическими целями.</t>
  </si>
  <si>
    <t xml:space="preserve">Премия имеет threshold/target/stretch уровни.</t>
  </si>
  <si>
    <t xml:space="preserve">Расчет премии воспроизводим и автоматизирован.</t>
  </si>
  <si>
    <t xml:space="preserve">Льготы</t>
  </si>
  <si>
    <t xml:space="preserve">Льготы соответствуют потребностям сотрудников (исследовалось).</t>
  </si>
  <si>
    <t xml:space="preserve">Стоимость и utilization льгот отслеживаются.</t>
  </si>
  <si>
    <t xml:space="preserve">Льготный пакет дифференцирован по грейдам/категориям.</t>
  </si>
  <si>
    <t xml:space="preserve">Сотрудники понимают полный пакет (Total Rewards Statement).</t>
  </si>
  <si>
    <t xml:space="preserve">Аналитика</t>
  </si>
  <si>
    <t xml:space="preserve">C&amp;B-данные хранятся в едином источнике.</t>
  </si>
  <si>
    <t xml:space="preserve">Регулярно проводится pay gap analysis.</t>
  </si>
  <si>
    <t xml:space="preserve">Доступна дашбордизация по компенсациям.</t>
  </si>
  <si>
    <t xml:space="preserve">Бюджет повышений моделируется до утверждения.</t>
  </si>
  <si>
    <t xml:space="preserve">Коммуникации</t>
  </si>
  <si>
    <t xml:space="preserve">Руководители обучены обсуждать compensation с командой.</t>
  </si>
  <si>
    <t xml:space="preserve">Существуют утвержденные сообщения и FAQ для salary review.</t>
  </si>
  <si>
    <t xml:space="preserve">Сотрудники получают разъяснения по своим зарплатным решениям.</t>
  </si>
  <si>
    <t xml:space="preserve">Расчет блоков</t>
  </si>
  <si>
    <t xml:space="preserve">Среднее по блоку и нормализованный балл от 0% до 100%.</t>
  </si>
  <si>
    <t xml:space="preserve">Средний балл</t>
  </si>
  <si>
    <t xml:space="preserve">Норм., %</t>
  </si>
  <si>
    <t xml:space="preserve">Уровень</t>
  </si>
  <si>
    <t xml:space="preserve">Что значит</t>
  </si>
  <si>
    <t xml:space="preserve">Итоговый индекс зрелости</t>
  </si>
  <si>
    <t xml:space="preserve">Результаты и рекомендации</t>
  </si>
  <si>
    <t xml:space="preserve">Индекс зрелости</t>
  </si>
  <si>
    <t xml:space="preserve">Что делать в первую очередь</t>
  </si>
  <si>
    <t xml:space="preserve">Приоритетные блоки (низший балл сверху)</t>
  </si>
  <si>
    <t xml:space="preserve">Ранг</t>
  </si>
  <si>
    <t xml:space="preserve">Нормализованный балл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</si>
</sst>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libri"/>
      <family val="0"/>
      <charset val="1"/>
    </font>
    <font>
      <b val="true"/>
      <sz val="11"/>
      <color rgb="FF0E5C6B"/>
      <name val="Calibri"/>
      <family val="0"/>
      <charset val="1"/>
    </font>
    <font>
      <sz val="11"/>
      <color rgb="FF1F2A2E"/>
      <name val="Calibri"/>
      <family val="0"/>
      <charset val="1"/>
    </font>
    <font>
      <b val="true"/>
      <sz val="14"/>
      <color rgb="FF143D4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A84B2F"/>
      <name val="Calibri"/>
      <family val="0"/>
      <charset val="1"/>
    </font>
    <font>
      <i val="true"/>
      <sz val="10"/>
      <color rgb="FF6B7174"/>
      <name val="Calibri"/>
      <family val="0"/>
      <charset val="1"/>
    </font>
    <font>
      <b val="true"/>
      <sz val="20"/>
      <color rgb="FF143D45"/>
      <name val="Calibri"/>
      <family val="0"/>
      <charset val="1"/>
    </font>
    <font>
      <sz val="11"/>
      <color rgb="FF6B7174"/>
      <name val="Calibri"/>
      <family val="0"/>
      <charset val="1"/>
    </font>
    <font>
      <b val="true"/>
      <sz val="12"/>
      <color rgb="FF0E5C6B"/>
      <name val="Calibri"/>
      <family val="0"/>
      <charset val="1"/>
    </font>
    <font>
      <b val="true"/>
      <sz val="13"/>
      <color rgb="FF143D45"/>
      <name val="Calibri"/>
      <family val="0"/>
      <charset val="1"/>
    </font>
    <font>
      <b val="true"/>
      <sz val="16"/>
      <color rgb="FFA84B2F"/>
      <name val="Calibri"/>
      <family val="0"/>
      <charset val="1"/>
    </font>
    <font>
      <b val="true"/>
      <sz val="12"/>
      <color rgb="FF143D45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0E5C6B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43D45"/>
        <bgColor rgb="FF1F2A2E"/>
      </patternFill>
    </fill>
    <fill>
      <patternFill patternType="solid">
        <fgColor rgb="FF0E5C6B"/>
        <bgColor rgb="FF143D45"/>
      </patternFill>
    </fill>
    <fill>
      <patternFill patternType="solid">
        <fgColor rgb="FFFBFAF6"/>
        <bgColor rgb="FFFFFFFF"/>
      </patternFill>
    </fill>
    <fill>
      <patternFill patternType="solid">
        <fgColor rgb="FFDDE9EB"/>
        <bgColor rgb="FFD6E9D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2C8"/>
      </left>
      <right style="thin">
        <color rgb="FFD6D2C8"/>
      </right>
      <top style="thin">
        <color rgb="FFD6D2C8"/>
      </top>
      <bottom style="thin">
        <color rgb="FFD6D2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E5C6B"/>
          <bgColor rgb="FF000000"/>
        </patternFill>
      </fill>
    </dxf>
    <dxf>
      <fill>
        <patternFill patternType="solid">
          <fgColor rgb="FFFBFAF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2A2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E9B0"/>
          <bgColor rgb="FF000000"/>
        </patternFill>
      </fill>
    </dxf>
    <dxf>
      <fill>
        <patternFill>
          <bgColor rgb="FFF4D4CB"/>
        </patternFill>
      </fill>
    </dxf>
    <dxf>
      <fill>
        <patternFill>
          <bgColor rgb="FFFFE9B0"/>
        </patternFill>
      </fill>
    </dxf>
    <dxf>
      <fill>
        <patternFill>
          <bgColor rgb="FFD6E9D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5C6B"/>
      <rgbColor rgb="FFD6D2C8"/>
      <rgbColor rgb="FF878787"/>
      <rgbColor rgb="FF9999FF"/>
      <rgbColor rgb="FF993366"/>
      <rgbColor rgb="FFFBFAF6"/>
      <rgbColor rgb="FFDDE9E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9D8"/>
      <rgbColor rgb="FFFFE9B0"/>
      <rgbColor rgb="FF99CCFF"/>
      <rgbColor rgb="FFFF99CC"/>
      <rgbColor rgb="FFCC99FF"/>
      <rgbColor rgb="FFF4D4CB"/>
      <rgbColor rgb="FF4F81BD"/>
      <rgbColor rgb="FF33CCCC"/>
      <rgbColor rgb="FF99CC00"/>
      <rgbColor rgb="FFFFCC00"/>
      <rgbColor rgb="FFFF9900"/>
      <rgbColor rgb="FFFF6600"/>
      <rgbColor rgb="FF6B7174"/>
      <rgbColor rgb="FF969696"/>
      <rgbColor rgb="FF143D45"/>
      <rgbColor rgb="FF339966"/>
      <rgbColor rgb="FF003300"/>
      <rgbColor rgb="FF333300"/>
      <rgbColor rgb="FFA84B2F"/>
      <rgbColor rgb="FF993366"/>
      <rgbColor rgb="FF333399"/>
      <rgbColor rgb="FF1F2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Зрелость по блокам, %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Scoring!D5</c:f>
              <c:strCache>
                <c:ptCount val="1"/>
                <c:pt idx="0">
                  <c:v>Норм.,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Scoring!$B$6:$B$11</c:f>
              <c:strCache>
                <c:ptCount val="6"/>
                <c:pt idx="0">
                  <c:v>Грейды</c:v>
                </c:pt>
                <c:pt idx="1">
                  <c:v>Вилки</c:v>
                </c:pt>
                <c:pt idx="2">
                  <c:v>Премии</c:v>
                </c:pt>
                <c:pt idx="3">
                  <c:v>Льготы</c:v>
                </c:pt>
                <c:pt idx="4">
                  <c:v>Аналитика</c:v>
                </c:pt>
                <c:pt idx="5">
                  <c:v>Коммуникации</c:v>
                </c:pt>
              </c:strCache>
            </c:strRef>
          </c:cat>
          <c:val>
            <c:numRef>
              <c:f>Scoring!$D$6:$D$11</c:f>
              <c:numCache>
                <c:formatCode>0.0%</c:formatCode>
                <c:ptCount val="6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</c:numCache>
            </c:numRef>
          </c:val>
        </c:ser>
        <c:gapWidth val="150"/>
        <c:overlap val="0"/>
        <c:axId val="46034101"/>
        <c:axId val="99333781"/>
      </c:barChart>
      <c:catAx>
        <c:axId val="460341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333781"/>
        <c:crosses val="autoZero"/>
        <c:auto val="1"/>
        <c:lblAlgn val="ctr"/>
        <c:lblOffset val="100"/>
        <c:noMultiLvlLbl val="0"/>
      </c:catAx>
      <c:valAx>
        <c:axId val="993337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460341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14</xdr:row>
      <xdr:rowOff>130680</xdr:rowOff>
    </xdr:from>
    <xdr:to>
      <xdr:col>5</xdr:col>
      <xdr:colOff>1545840</xdr:colOff>
      <xdr:row>31</xdr:row>
      <xdr:rowOff>132120</xdr:rowOff>
    </xdr:to>
    <xdr:graphicFrame>
      <xdr:nvGraphicFramePr>
        <xdr:cNvPr id="0" name="Chart 1"/>
        <xdr:cNvGraphicFramePr/>
      </xdr:nvGraphicFramePr>
      <xdr:xfrm>
        <a:off x="141120" y="31147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E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0"/>
  </cols>
  <sheetData>
    <row r="2" customFormat="false" ht="39.75" hidden="false" customHeight="true" outlineLevel="0" collapsed="false">
      <c r="A2" s="1"/>
      <c r="B2" s="2" t="s">
        <v>0</v>
      </c>
      <c r="C2" s="2"/>
      <c r="D2" s="2"/>
      <c r="E2" s="2"/>
    </row>
    <row r="4" customFormat="false" ht="31.5" hidden="false" customHeight="true" outlineLevel="0" collapsed="false">
      <c r="B4" s="3" t="s">
        <v>1</v>
      </c>
      <c r="C4" s="4" t="s">
        <v>2</v>
      </c>
    </row>
    <row r="5" customFormat="false" ht="31.5" hidden="false" customHeight="true" outlineLevel="0" collapsed="false">
      <c r="B5" s="3" t="s">
        <v>3</v>
      </c>
      <c r="C5" s="4" t="s">
        <v>4</v>
      </c>
    </row>
    <row r="6" customFormat="false" ht="31.5" hidden="false" customHeight="true" outlineLevel="0" collapsed="false">
      <c r="B6" s="3" t="s">
        <v>5</v>
      </c>
      <c r="C6" s="4" t="s">
        <v>6</v>
      </c>
    </row>
    <row r="7" customFormat="false" ht="31.5" hidden="false" customHeight="true" outlineLevel="0" collapsed="false">
      <c r="B7" s="3" t="s">
        <v>7</v>
      </c>
      <c r="C7" s="4" t="s">
        <v>8</v>
      </c>
    </row>
    <row r="8" customFormat="false" ht="31.5" hidden="false" customHeight="true" outlineLevel="0" collapsed="false">
      <c r="B8" s="3" t="s">
        <v>9</v>
      </c>
      <c r="C8" s="4" t="s">
        <v>10</v>
      </c>
    </row>
    <row r="9" customFormat="false" ht="31.5" hidden="false" customHeight="true" outlineLevel="0" collapsed="false">
      <c r="B9" s="3" t="s">
        <v>11</v>
      </c>
      <c r="C9" s="4" t="s">
        <v>12</v>
      </c>
    </row>
    <row r="11" customFormat="false" ht="17.35" hidden="false" customHeight="false" outlineLevel="0" collapsed="false">
      <c r="B11" s="5" t="s">
        <v>13</v>
      </c>
    </row>
    <row r="12" customFormat="false" ht="25.5" hidden="false" customHeight="true" outlineLevel="0" collapsed="false">
      <c r="B12" s="6" t="s">
        <v>14</v>
      </c>
      <c r="C12" s="6" t="s">
        <v>15</v>
      </c>
    </row>
    <row r="13" customFormat="false" ht="15" hidden="false" customHeight="false" outlineLevel="0" collapsed="false">
      <c r="B13" s="7" t="s">
        <v>16</v>
      </c>
      <c r="C13" s="7" t="s">
        <v>17</v>
      </c>
    </row>
    <row r="14" customFormat="false" ht="15" hidden="false" customHeight="false" outlineLevel="0" collapsed="false">
      <c r="B14" s="8" t="s">
        <v>18</v>
      </c>
      <c r="C14" s="8" t="s">
        <v>19</v>
      </c>
    </row>
    <row r="15" customFormat="false" ht="15" hidden="false" customHeight="false" outlineLevel="0" collapsed="false">
      <c r="B15" s="7" t="s">
        <v>20</v>
      </c>
      <c r="C15" s="7" t="s">
        <v>21</v>
      </c>
    </row>
    <row r="17" customFormat="false" ht="15" hidden="false" customHeight="false" outlineLevel="0" collapsed="false">
      <c r="B17" s="9" t="s">
        <v>22</v>
      </c>
    </row>
    <row r="18" customFormat="false" ht="15" hidden="false" customHeight="true" outlineLevel="0" collapsed="false">
      <c r="B18" s="10" t="s">
        <v>23</v>
      </c>
      <c r="C18" s="10"/>
    </row>
    <row r="19" customFormat="false" ht="15" hidden="false" customHeight="false" outlineLevel="0" collapsed="false">
      <c r="B19" s="10"/>
      <c r="C19" s="10"/>
    </row>
    <row r="20" customFormat="false" ht="15" hidden="false" customHeight="false" outlineLevel="0" collapsed="false">
      <c r="B20" s="10"/>
      <c r="C20" s="10"/>
    </row>
  </sheetData>
  <mergeCells count="2">
    <mergeCell ref="B2:E2"/>
    <mergeCell ref="B18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80"/>
    <col collapsed="false" customWidth="true" hidden="false" outlineLevel="0" max="4" min="4" style="0" width="12"/>
    <col collapsed="false" customWidth="true" hidden="false" outlineLevel="0" max="5" min="5" style="0" width="40"/>
  </cols>
  <sheetData>
    <row r="1" customFormat="false" ht="9.75" hidden="false" customHeight="true" outlineLevel="0" collapsed="false"/>
    <row r="2" customFormat="false" ht="30" hidden="false" customHeight="true" outlineLevel="0" collapsed="false">
      <c r="B2" s="11" t="s">
        <v>24</v>
      </c>
    </row>
    <row r="3" customFormat="false" ht="15" hidden="false" customHeight="false" outlineLevel="0" collapsed="false">
      <c r="B3" s="12" t="s">
        <v>25</v>
      </c>
    </row>
    <row r="5" customFormat="false" ht="25.5" hidden="false" customHeight="true" outlineLevel="0" collapsed="false">
      <c r="B5" s="6" t="s">
        <v>26</v>
      </c>
      <c r="C5" s="6" t="s">
        <v>27</v>
      </c>
      <c r="D5" s="6" t="s">
        <v>28</v>
      </c>
      <c r="E5" s="6" t="s">
        <v>29</v>
      </c>
    </row>
    <row r="6" customFormat="false" ht="27.75" hidden="false" customHeight="true" outlineLevel="0" collapsed="false">
      <c r="B6" s="7" t="s">
        <v>30</v>
      </c>
      <c r="C6" s="7" t="s">
        <v>31</v>
      </c>
      <c r="D6" s="13" t="n">
        <v>3</v>
      </c>
      <c r="E6" s="7"/>
    </row>
    <row r="7" customFormat="false" ht="27.75" hidden="false" customHeight="true" outlineLevel="0" collapsed="false">
      <c r="B7" s="8" t="s">
        <v>30</v>
      </c>
      <c r="C7" s="8" t="s">
        <v>32</v>
      </c>
      <c r="D7" s="14" t="n">
        <v>3</v>
      </c>
      <c r="E7" s="8"/>
    </row>
    <row r="8" customFormat="false" ht="27.75" hidden="false" customHeight="true" outlineLevel="0" collapsed="false">
      <c r="B8" s="7" t="s">
        <v>30</v>
      </c>
      <c r="C8" s="7" t="s">
        <v>33</v>
      </c>
      <c r="D8" s="13" t="n">
        <v>3</v>
      </c>
      <c r="E8" s="7"/>
    </row>
    <row r="9" customFormat="false" ht="27.75" hidden="false" customHeight="true" outlineLevel="0" collapsed="false">
      <c r="B9" s="8" t="s">
        <v>30</v>
      </c>
      <c r="C9" s="8" t="s">
        <v>34</v>
      </c>
      <c r="D9" s="14" t="n">
        <v>3</v>
      </c>
      <c r="E9" s="8"/>
    </row>
    <row r="10" customFormat="false" ht="27.75" hidden="false" customHeight="true" outlineLevel="0" collapsed="false">
      <c r="B10" s="7" t="s">
        <v>30</v>
      </c>
      <c r="C10" s="7" t="s">
        <v>35</v>
      </c>
      <c r="D10" s="13" t="n">
        <v>3</v>
      </c>
      <c r="E10" s="7"/>
    </row>
    <row r="11" customFormat="false" ht="27.75" hidden="false" customHeight="true" outlineLevel="0" collapsed="false">
      <c r="B11" s="8" t="s">
        <v>36</v>
      </c>
      <c r="C11" s="8" t="s">
        <v>37</v>
      </c>
      <c r="D11" s="14" t="n">
        <v>3</v>
      </c>
      <c r="E11" s="8"/>
    </row>
    <row r="12" customFormat="false" ht="27.75" hidden="false" customHeight="true" outlineLevel="0" collapsed="false">
      <c r="B12" s="7" t="s">
        <v>36</v>
      </c>
      <c r="C12" s="7" t="s">
        <v>38</v>
      </c>
      <c r="D12" s="13" t="n">
        <v>3</v>
      </c>
      <c r="E12" s="7"/>
    </row>
    <row r="13" customFormat="false" ht="27.75" hidden="false" customHeight="true" outlineLevel="0" collapsed="false">
      <c r="B13" s="8" t="s">
        <v>36</v>
      </c>
      <c r="C13" s="8" t="s">
        <v>39</v>
      </c>
      <c r="D13" s="14" t="n">
        <v>3</v>
      </c>
      <c r="E13" s="8"/>
    </row>
    <row r="14" customFormat="false" ht="27.75" hidden="false" customHeight="true" outlineLevel="0" collapsed="false">
      <c r="B14" s="7" t="s">
        <v>36</v>
      </c>
      <c r="C14" s="7" t="s">
        <v>40</v>
      </c>
      <c r="D14" s="13" t="n">
        <v>3</v>
      </c>
      <c r="E14" s="7"/>
    </row>
    <row r="15" customFormat="false" ht="27.75" hidden="false" customHeight="true" outlineLevel="0" collapsed="false">
      <c r="B15" s="8" t="s">
        <v>36</v>
      </c>
      <c r="C15" s="8" t="s">
        <v>41</v>
      </c>
      <c r="D15" s="14" t="n">
        <v>3</v>
      </c>
      <c r="E15" s="8"/>
    </row>
    <row r="16" customFormat="false" ht="27.75" hidden="false" customHeight="true" outlineLevel="0" collapsed="false">
      <c r="B16" s="7" t="s">
        <v>42</v>
      </c>
      <c r="C16" s="7" t="s">
        <v>43</v>
      </c>
      <c r="D16" s="13" t="n">
        <v>3</v>
      </c>
      <c r="E16" s="7"/>
    </row>
    <row r="17" customFormat="false" ht="27.75" hidden="false" customHeight="true" outlineLevel="0" collapsed="false">
      <c r="B17" s="8" t="s">
        <v>42</v>
      </c>
      <c r="C17" s="8" t="s">
        <v>44</v>
      </c>
      <c r="D17" s="14" t="n">
        <v>3</v>
      </c>
      <c r="E17" s="8"/>
    </row>
    <row r="18" customFormat="false" ht="27.75" hidden="false" customHeight="true" outlineLevel="0" collapsed="false">
      <c r="B18" s="7" t="s">
        <v>42</v>
      </c>
      <c r="C18" s="7" t="s">
        <v>45</v>
      </c>
      <c r="D18" s="13" t="n">
        <v>3</v>
      </c>
      <c r="E18" s="7"/>
    </row>
    <row r="19" customFormat="false" ht="27.75" hidden="false" customHeight="true" outlineLevel="0" collapsed="false">
      <c r="B19" s="8" t="s">
        <v>42</v>
      </c>
      <c r="C19" s="8" t="s">
        <v>46</v>
      </c>
      <c r="D19" s="14" t="n">
        <v>3</v>
      </c>
      <c r="E19" s="8"/>
    </row>
    <row r="20" customFormat="false" ht="27.75" hidden="false" customHeight="true" outlineLevel="0" collapsed="false">
      <c r="B20" s="7" t="s">
        <v>47</v>
      </c>
      <c r="C20" s="7" t="s">
        <v>48</v>
      </c>
      <c r="D20" s="13" t="n">
        <v>3</v>
      </c>
      <c r="E20" s="7"/>
    </row>
    <row r="21" customFormat="false" ht="27.75" hidden="false" customHeight="true" outlineLevel="0" collapsed="false">
      <c r="B21" s="8" t="s">
        <v>47</v>
      </c>
      <c r="C21" s="8" t="s">
        <v>49</v>
      </c>
      <c r="D21" s="14" t="n">
        <v>3</v>
      </c>
      <c r="E21" s="8"/>
    </row>
    <row r="22" customFormat="false" ht="27.75" hidden="false" customHeight="true" outlineLevel="0" collapsed="false">
      <c r="B22" s="7" t="s">
        <v>47</v>
      </c>
      <c r="C22" s="7" t="s">
        <v>50</v>
      </c>
      <c r="D22" s="13" t="n">
        <v>3</v>
      </c>
      <c r="E22" s="7"/>
    </row>
    <row r="23" customFormat="false" ht="27.75" hidden="false" customHeight="true" outlineLevel="0" collapsed="false">
      <c r="B23" s="8" t="s">
        <v>47</v>
      </c>
      <c r="C23" s="8" t="s">
        <v>51</v>
      </c>
      <c r="D23" s="14" t="n">
        <v>3</v>
      </c>
      <c r="E23" s="8"/>
    </row>
    <row r="24" customFormat="false" ht="27.75" hidden="false" customHeight="true" outlineLevel="0" collapsed="false">
      <c r="B24" s="7" t="s">
        <v>52</v>
      </c>
      <c r="C24" s="7" t="s">
        <v>53</v>
      </c>
      <c r="D24" s="13" t="n">
        <v>3</v>
      </c>
      <c r="E24" s="7"/>
    </row>
    <row r="25" customFormat="false" ht="27.75" hidden="false" customHeight="true" outlineLevel="0" collapsed="false">
      <c r="B25" s="8" t="s">
        <v>52</v>
      </c>
      <c r="C25" s="8" t="s">
        <v>54</v>
      </c>
      <c r="D25" s="14" t="n">
        <v>3</v>
      </c>
      <c r="E25" s="8"/>
    </row>
    <row r="26" customFormat="false" ht="27.75" hidden="false" customHeight="true" outlineLevel="0" collapsed="false">
      <c r="B26" s="7" t="s">
        <v>52</v>
      </c>
      <c r="C26" s="7" t="s">
        <v>55</v>
      </c>
      <c r="D26" s="13" t="n">
        <v>3</v>
      </c>
      <c r="E26" s="7"/>
    </row>
    <row r="27" customFormat="false" ht="27.75" hidden="false" customHeight="true" outlineLevel="0" collapsed="false">
      <c r="B27" s="8" t="s">
        <v>52</v>
      </c>
      <c r="C27" s="8" t="s">
        <v>56</v>
      </c>
      <c r="D27" s="14" t="n">
        <v>3</v>
      </c>
      <c r="E27" s="8"/>
    </row>
    <row r="28" customFormat="false" ht="27.75" hidden="false" customHeight="true" outlineLevel="0" collapsed="false">
      <c r="B28" s="7" t="s">
        <v>57</v>
      </c>
      <c r="C28" s="7" t="s">
        <v>58</v>
      </c>
      <c r="D28" s="13" t="n">
        <v>3</v>
      </c>
      <c r="E28" s="7"/>
    </row>
    <row r="29" customFormat="false" ht="27.75" hidden="false" customHeight="true" outlineLevel="0" collapsed="false">
      <c r="B29" s="8" t="s">
        <v>57</v>
      </c>
      <c r="C29" s="8" t="s">
        <v>59</v>
      </c>
      <c r="D29" s="14" t="n">
        <v>3</v>
      </c>
      <c r="E29" s="8"/>
    </row>
    <row r="30" customFormat="false" ht="27.75" hidden="false" customHeight="true" outlineLevel="0" collapsed="false">
      <c r="B30" s="7" t="s">
        <v>57</v>
      </c>
      <c r="C30" s="7" t="s">
        <v>60</v>
      </c>
      <c r="D30" s="13" t="n">
        <v>3</v>
      </c>
      <c r="E30" s="7"/>
    </row>
  </sheetData>
  <autoFilter ref="B5:E30"/>
  <conditionalFormatting sqref="D6:D30">
    <cfRule type="cellIs" priority="2" operator="lessThanOrEqual" aboveAverage="0" equalAverage="0" bottom="0" percent="0" rank="0" text="" dxfId="6">
      <formula>2</formula>
    </cfRule>
    <cfRule type="cellIs" priority="3" operator="equal" aboveAverage="0" equalAverage="0" bottom="0" percent="0" rank="0" text="" dxfId="7">
      <formula>3</formula>
    </cfRule>
    <cfRule type="cellIs" priority="4" operator="greaterThanOrEqual" aboveAverage="0" equalAverage="0" bottom="0" percent="0" rank="0" text="" dxfId="8">
      <formula>4</formula>
    </cfRule>
  </conditionalFormatting>
  <dataValidations count="2">
    <dataValidation allowBlank="true" errorStyle="stop" operator="between" showDropDown="false" showErrorMessage="false" showInputMessage="false" sqref="E6:E30" type="whole">
      <formula1>1</formula1>
      <formula2>5</formula2>
    </dataValidation>
    <dataValidation allowBlank="true" error="Введите целое число от 1 до 5" errorStyle="stop" errorTitle="Оценка" operator="between" showDropDown="false" showErrorMessage="false" showInputMessage="false" sqref="D6:D3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50"/>
  </cols>
  <sheetData>
    <row r="1" customFormat="false" ht="9.75" hidden="false" customHeight="true" outlineLevel="0" collapsed="false"/>
    <row r="2" customFormat="false" ht="30" hidden="false" customHeight="true" outlineLevel="0" collapsed="false">
      <c r="B2" s="11" t="s">
        <v>61</v>
      </c>
    </row>
    <row r="3" customFormat="false" ht="15" hidden="false" customHeight="false" outlineLevel="0" collapsed="false">
      <c r="B3" s="12" t="s">
        <v>62</v>
      </c>
    </row>
    <row r="5" customFormat="false" ht="25.5" hidden="false" customHeight="true" outlineLevel="0" collapsed="false">
      <c r="B5" s="6" t="s">
        <v>26</v>
      </c>
      <c r="C5" s="6" t="s">
        <v>63</v>
      </c>
      <c r="D5" s="6" t="s">
        <v>64</v>
      </c>
      <c r="E5" s="6" t="s">
        <v>65</v>
      </c>
      <c r="F5" s="6" t="s">
        <v>66</v>
      </c>
    </row>
    <row r="6" customFormat="false" ht="15" hidden="false" customHeight="false" outlineLevel="0" collapsed="false">
      <c r="B6" s="7" t="s">
        <v>30</v>
      </c>
      <c r="C6" s="15" t="n">
        <f aca="false">AVERAGEIF(Questionnaire!B6:B30,B6,Questionnaire!D6:D30)</f>
        <v>3</v>
      </c>
      <c r="D6" s="16" t="n">
        <f aca="false">IFERROR((C6-1)/4,0)</f>
        <v>0.5</v>
      </c>
      <c r="E6" s="7" t="str">
        <f aca="false">IF(D6&lt;0.3,"Начальный",IF(D6&lt;0.5,"Развивающийся",IF(D6&lt;0.75,"Зрелый","Продвинутый")))</f>
        <v>Зрелый</v>
      </c>
      <c r="F6" s="7" t="str">
        <f aca="false">IF(D6&lt;0.3,"Минимальные базовые практики; высокий риск.",IF(D6&lt;0.5,"Базовые элементы есть, но не работают системно.",IF(D6&lt;0.75,"Управляемые процессы, есть зоны улучшения.","Зрелая система, фокус на тонкой настройке.")))</f>
        <v>Управляемые процессы, есть зоны улучшения.</v>
      </c>
    </row>
    <row r="7" customFormat="false" ht="15" hidden="false" customHeight="false" outlineLevel="0" collapsed="false">
      <c r="B7" s="8" t="s">
        <v>36</v>
      </c>
      <c r="C7" s="17" t="n">
        <f aca="false">AVERAGEIF(Questionnaire!B6:B30,B7,Questionnaire!D6:D30)</f>
        <v>3</v>
      </c>
      <c r="D7" s="18" t="n">
        <f aca="false">IFERROR((C7-1)/4,0)</f>
        <v>0.5</v>
      </c>
      <c r="E7" s="8" t="str">
        <f aca="false">IF(D7&lt;0.3,"Начальный",IF(D7&lt;0.5,"Развивающийся",IF(D7&lt;0.75,"Зрелый","Продвинутый")))</f>
        <v>Зрелый</v>
      </c>
      <c r="F7" s="8" t="str">
        <f aca="false">IF(D7&lt;0.3,"Минимальные базовые практики; высокий риск.",IF(D7&lt;0.5,"Базовые элементы есть, но не работают системно.",IF(D7&lt;0.75,"Управляемые процессы, есть зоны улучшения.","Зрелая система, фокус на тонкой настройке.")))</f>
        <v>Управляемые процессы, есть зоны улучшения.</v>
      </c>
    </row>
    <row r="8" customFormat="false" ht="15" hidden="false" customHeight="false" outlineLevel="0" collapsed="false">
      <c r="B8" s="7" t="s">
        <v>42</v>
      </c>
      <c r="C8" s="15" t="n">
        <f aca="false">AVERAGEIF(Questionnaire!B6:B30,B8,Questionnaire!D6:D30)</f>
        <v>3</v>
      </c>
      <c r="D8" s="16" t="n">
        <f aca="false">IFERROR((C8-1)/4,0)</f>
        <v>0.5</v>
      </c>
      <c r="E8" s="7" t="str">
        <f aca="false">IF(D8&lt;0.3,"Начальный",IF(D8&lt;0.5,"Развивающийся",IF(D8&lt;0.75,"Зрелый","Продвинутый")))</f>
        <v>Зрелый</v>
      </c>
      <c r="F8" s="7" t="str">
        <f aca="false">IF(D8&lt;0.3,"Минимальные базовые практики; высокий риск.",IF(D8&lt;0.5,"Базовые элементы есть, но не работают системно.",IF(D8&lt;0.75,"Управляемые процессы, есть зоны улучшения.","Зрелая система, фокус на тонкой настройке.")))</f>
        <v>Управляемые процессы, есть зоны улучшения.</v>
      </c>
    </row>
    <row r="9" customFormat="false" ht="15" hidden="false" customHeight="false" outlineLevel="0" collapsed="false">
      <c r="B9" s="8" t="s">
        <v>47</v>
      </c>
      <c r="C9" s="17" t="n">
        <f aca="false">AVERAGEIF(Questionnaire!B6:B30,B9,Questionnaire!D6:D30)</f>
        <v>3</v>
      </c>
      <c r="D9" s="18" t="n">
        <f aca="false">IFERROR((C9-1)/4,0)</f>
        <v>0.5</v>
      </c>
      <c r="E9" s="8" t="str">
        <f aca="false">IF(D9&lt;0.3,"Начальный",IF(D9&lt;0.5,"Развивающийся",IF(D9&lt;0.75,"Зрелый","Продвинутый")))</f>
        <v>Зрелый</v>
      </c>
      <c r="F9" s="8" t="str">
        <f aca="false">IF(D9&lt;0.3,"Минимальные базовые практики; высокий риск.",IF(D9&lt;0.5,"Базовые элементы есть, но не работают системно.",IF(D9&lt;0.75,"Управляемые процессы, есть зоны улучшения.","Зрелая система, фокус на тонкой настройке.")))</f>
        <v>Управляемые процессы, есть зоны улучшения.</v>
      </c>
    </row>
    <row r="10" customFormat="false" ht="15" hidden="false" customHeight="false" outlineLevel="0" collapsed="false">
      <c r="B10" s="7" t="s">
        <v>52</v>
      </c>
      <c r="C10" s="15" t="n">
        <f aca="false">AVERAGEIF(Questionnaire!B6:B30,B10,Questionnaire!D6:D30)</f>
        <v>3</v>
      </c>
      <c r="D10" s="16" t="n">
        <f aca="false">IFERROR((C10-1)/4,0)</f>
        <v>0.5</v>
      </c>
      <c r="E10" s="7" t="str">
        <f aca="false">IF(D10&lt;0.3,"Начальный",IF(D10&lt;0.5,"Развивающийся",IF(D10&lt;0.75,"Зрелый","Продвинутый")))</f>
        <v>Зрелый</v>
      </c>
      <c r="F10" s="7" t="str">
        <f aca="false">IF(D10&lt;0.3,"Минимальные базовые практики; высокий риск.",IF(D10&lt;0.5,"Базовые элементы есть, но не работают системно.",IF(D10&lt;0.75,"Управляемые процессы, есть зоны улучшения.","Зрелая система, фокус на тонкой настройке.")))</f>
        <v>Управляемые процессы, есть зоны улучшения.</v>
      </c>
    </row>
    <row r="11" customFormat="false" ht="15" hidden="false" customHeight="false" outlineLevel="0" collapsed="false">
      <c r="B11" s="8" t="s">
        <v>57</v>
      </c>
      <c r="C11" s="17" t="n">
        <f aca="false">AVERAGEIF(Questionnaire!B6:B30,B11,Questionnaire!D6:D30)</f>
        <v>3</v>
      </c>
      <c r="D11" s="18" t="n">
        <f aca="false">IFERROR((C11-1)/4,0)</f>
        <v>0.5</v>
      </c>
      <c r="E11" s="8" t="str">
        <f aca="false">IF(D11&lt;0.3,"Начальный",IF(D11&lt;0.5,"Развивающийся",IF(D11&lt;0.75,"Зрелый","Продвинутый")))</f>
        <v>Зрелый</v>
      </c>
      <c r="F11" s="8" t="str">
        <f aca="false">IF(D11&lt;0.3,"Минимальные базовые практики; высокий риск.",IF(D11&lt;0.5,"Базовые элементы есть, но не работают системно.",IF(D11&lt;0.75,"Управляемые процессы, есть зоны улучшения.","Зрелая система, фокус на тонкой настройке.")))</f>
        <v>Управляемые процессы, есть зоны улучшения.</v>
      </c>
    </row>
    <row r="13" customFormat="false" ht="19.7" hidden="false" customHeight="false" outlineLevel="0" collapsed="false">
      <c r="B13" s="19" t="s">
        <v>67</v>
      </c>
      <c r="C13" s="20" t="n">
        <f aca="false">AVERAGE(D6:D11)</f>
        <v>0.5</v>
      </c>
      <c r="D13" s="21" t="str">
        <f aca="false">IF(C13&lt;0.3,"Начальный",IF(C13&lt;0.5,"Развивающийся",IF(C13&lt;0.75,"Зрелый","Продвинутый")))</f>
        <v>Зрелый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3" min="3" style="0" width="24"/>
    <col collapsed="false" customWidth="true" hidden="false" outlineLevel="0" max="4" min="4" style="0" width="4"/>
    <col collapsed="false" customWidth="true" hidden="false" outlineLevel="0" max="5" min="5" style="0" width="90"/>
  </cols>
  <sheetData>
    <row r="1" customFormat="false" ht="9.75" hidden="false" customHeight="true" outlineLevel="0" collapsed="false"/>
    <row r="2" customFormat="false" ht="30" hidden="false" customHeight="true" outlineLevel="0" collapsed="false">
      <c r="B2" s="11" t="s">
        <v>68</v>
      </c>
    </row>
    <row r="5" customFormat="false" ht="25.5" hidden="false" customHeight="true" outlineLevel="0" collapsed="false">
      <c r="B5" s="6" t="s">
        <v>69</v>
      </c>
      <c r="C5" s="6" t="s">
        <v>65</v>
      </c>
      <c r="D5" s="6"/>
      <c r="E5" s="6" t="s">
        <v>70</v>
      </c>
    </row>
    <row r="6" customFormat="false" ht="60" hidden="false" customHeight="true" outlineLevel="0" collapsed="false">
      <c r="B6" s="22" t="n">
        <f aca="false">Scoring!C13</f>
        <v>0.5</v>
      </c>
      <c r="C6" s="23" t="str">
        <f aca="false">Scoring!D13</f>
        <v>Зрелый</v>
      </c>
      <c r="D6" s="7"/>
      <c r="E6" s="7" t="str">
        <f aca="false">IF(B6&lt;0.3,"Установить грейдовую структуру и базовые вилки; навести порядок в данных и регулярных отчетах.",IF(B6&lt;0.5,"Привести вилки в соответствие с рынком; формализовать премиальную схему и регулярный salary review.",IF(B6&lt;0.75,"Внедрить pay equity мониторинг; перейти к total rewards подходу и коммуникации сотрудникам.","Тонкая настройка: дифференциация льгот, продвинутая аналитика, прогнозные модели бюджета.")))</f>
        <v>Внедрить pay equity мониторинг; перейти к total rewards подходу и коммуникации сотрудникам.</v>
      </c>
    </row>
    <row r="9" customFormat="false" ht="16.15" hidden="false" customHeight="false" outlineLevel="0" collapsed="false">
      <c r="B9" s="19" t="s">
        <v>71</v>
      </c>
    </row>
    <row r="10" customFormat="false" ht="25.5" hidden="false" customHeight="true" outlineLevel="0" collapsed="false">
      <c r="B10" s="6" t="s">
        <v>72</v>
      </c>
      <c r="C10" s="6" t="s">
        <v>26</v>
      </c>
      <c r="D10" s="6"/>
      <c r="E10" s="6" t="s">
        <v>73</v>
      </c>
    </row>
    <row r="11" customFormat="false" ht="15" hidden="false" customHeight="false" outlineLevel="0" collapsed="false">
      <c r="B11" s="7" t="n">
        <v>1</v>
      </c>
      <c r="C11" s="7" t="str">
        <f aca="false">INDEX(Scoring!B$6:B$11,MATCH(SMALL(Scoring!D$6:D$11,1),Scoring!D$6:D$11,0))</f>
        <v>Грейды</v>
      </c>
      <c r="D11" s="7"/>
      <c r="E11" s="16" t="n">
        <f aca="false">SMALL(Scoring!D$6:D$11,1)</f>
        <v>0.5</v>
      </c>
    </row>
    <row r="12" customFormat="false" ht="15" hidden="false" customHeight="false" outlineLevel="0" collapsed="false">
      <c r="B12" s="8" t="n">
        <v>2</v>
      </c>
      <c r="C12" s="8" t="str">
        <f aca="false">INDEX(Scoring!B$6:B$11,MATCH(SMALL(Scoring!D$6:D$11,2),Scoring!D$6:D$11,0))</f>
        <v>Грейды</v>
      </c>
      <c r="D12" s="8"/>
      <c r="E12" s="18" t="n">
        <f aca="false">SMALL(Scoring!D$6:D$11,2)</f>
        <v>0.5</v>
      </c>
    </row>
    <row r="13" customFormat="false" ht="15" hidden="false" customHeight="false" outlineLevel="0" collapsed="false">
      <c r="B13" s="7" t="n">
        <v>3</v>
      </c>
      <c r="C13" s="7" t="str">
        <f aca="false">INDEX(Scoring!B$6:B$11,MATCH(SMALL(Scoring!D$6:D$11,3),Scoring!D$6:D$11,0))</f>
        <v>Грейды</v>
      </c>
      <c r="D13" s="7"/>
      <c r="E13" s="16" t="n">
        <f aca="false">SMALL(Scoring!D$6:D$11,3)</f>
        <v>0.5</v>
      </c>
    </row>
    <row r="14" customFormat="false" ht="15" hidden="false" customHeight="false" outlineLevel="0" collapsed="false">
      <c r="B14" s="8" t="n">
        <v>4</v>
      </c>
      <c r="C14" s="8" t="str">
        <f aca="false">INDEX(Scoring!B$6:B$11,MATCH(SMALL(Scoring!D$6:D$11,4),Scoring!D$6:D$11,0))</f>
        <v>Грейды</v>
      </c>
      <c r="D14" s="8"/>
      <c r="E14" s="18" t="n">
        <f aca="false">SMALL(Scoring!D$6:D$11,4)</f>
        <v>0.5</v>
      </c>
    </row>
    <row r="15" customFormat="false" ht="15" hidden="false" customHeight="false" outlineLevel="0" collapsed="false">
      <c r="B15" s="7" t="n">
        <v>5</v>
      </c>
      <c r="C15" s="7" t="str">
        <f aca="false">INDEX(Scoring!B$6:B$11,MATCH(SMALL(Scoring!D$6:D$11,5),Scoring!D$6:D$11,0))</f>
        <v>Грейды</v>
      </c>
      <c r="D15" s="7"/>
      <c r="E15" s="16" t="n">
        <f aca="false">SMALL(Scoring!D$6:D$11,5)</f>
        <v>0.5</v>
      </c>
    </row>
    <row r="16" customFormat="false" ht="15" hidden="false" customHeight="false" outlineLevel="0" collapsed="false">
      <c r="B16" s="8" t="n">
        <v>6</v>
      </c>
      <c r="C16" s="8" t="str">
        <f aca="false">INDEX(Scoring!B$6:B$11,MATCH(SMALL(Scoring!D$6:D$11,6),Scoring!D$6:D$11,0))</f>
        <v>Грейды</v>
      </c>
      <c r="D16" s="8"/>
      <c r="E16" s="18" t="n">
        <f aca="false">SMALL(Scoring!D$6:D$11,6)</f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2026-05-12T15:25:17Z</dcterms:created>
  <dc:creator>openpyxl</dc:creator>
  <dc:description/>
  <dc:language>en-US</dc:language>
  <cp:lastModifiedBy/>
  <dcterms:modified xsi:type="dcterms:W3CDTF">2026-05-12T15:25:25Z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